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manhdao/Downloads/"/>
    </mc:Choice>
  </mc:AlternateContent>
  <xr:revisionPtr revIDLastSave="0" documentId="8_{8251F63B-A633-974C-A7C7-92F385A3B82B}" xr6:coauthVersionLast="47" xr6:coauthVersionMax="47" xr10:uidLastSave="{00000000-0000-0000-0000-000000000000}"/>
  <bookViews>
    <workbookView xWindow="14640" yWindow="-20800" windowWidth="12460" windowHeight="20580" xr2:uid="{00000000-000D-0000-FFFF-FFFF00000000}"/>
  </bookViews>
  <sheets>
    <sheet name="Production spec Jacket 2 Saga" sheetId="2" r:id="rId1"/>
  </sheets>
  <definedNames>
    <definedName name="_xlnm._FilterDatabase" localSheetId="0" hidden="1">'Production spec Jacket 2 Saga'!$A$1:$X$56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4" i="2" l="1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3" i="2"/>
  <c r="X4" i="2"/>
  <c r="X5" i="2"/>
  <c r="X6" i="2"/>
  <c r="X7" i="2"/>
  <c r="X8" i="2"/>
  <c r="X9" i="2"/>
  <c r="X10" i="2"/>
  <c r="X11" i="2"/>
  <c r="X12" i="2"/>
  <c r="X2" i="2"/>
  <c r="G53" i="2" l="1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3" i="2"/>
  <c r="G4" i="2"/>
  <c r="G5" i="2"/>
  <c r="G6" i="2"/>
  <c r="G7" i="2"/>
  <c r="G8" i="2"/>
  <c r="G9" i="2"/>
  <c r="G10" i="2"/>
  <c r="G11" i="2"/>
  <c r="G12" i="2"/>
  <c r="G2" i="2"/>
</calcChain>
</file>

<file path=xl/sharedStrings.xml><?xml version="1.0" encoding="utf-8"?>
<sst xmlns="http://schemas.openxmlformats.org/spreadsheetml/2006/main" count="747" uniqueCount="339">
  <si>
    <t>Art No</t>
  </si>
  <si>
    <t>Std.</t>
  </si>
  <si>
    <t>Csmp</t>
  </si>
  <si>
    <t/>
  </si>
  <si>
    <t>56"</t>
  </si>
  <si>
    <t>57"</t>
  </si>
  <si>
    <t>60"</t>
  </si>
  <si>
    <t>58"</t>
  </si>
  <si>
    <t>57/8"</t>
  </si>
  <si>
    <t>STS-M3F</t>
  </si>
  <si>
    <t>100CM</t>
  </si>
  <si>
    <t>2MM</t>
  </si>
  <si>
    <t>15MM</t>
  </si>
  <si>
    <t>PLASTIC SNAP WITH 8 LOGO (1,2,3,4)(10009, 16636, 16637, 10009) (BLACK)</t>
  </si>
  <si>
    <t>13MM</t>
  </si>
  <si>
    <t>5MM</t>
  </si>
  <si>
    <t>3MM</t>
  </si>
  <si>
    <t>CD1365 SNOWGATIER ELASTIC 25MM LOGO GRIP PIPING (BLACK)</t>
  </si>
  <si>
    <t>25MM</t>
  </si>
  <si>
    <t>MC884810022 MEDIUM 8 PIN METAL BADGE GUN METAL H. POLISH 038</t>
  </si>
  <si>
    <t>14*16MM</t>
  </si>
  <si>
    <t>MC884810031 FELT WASHER FOR 8 MEDIUM PIN METAL BADGE (WHITE)</t>
  </si>
  <si>
    <t>19*15MM</t>
  </si>
  <si>
    <t>60*25MM</t>
  </si>
  <si>
    <t>11MM</t>
  </si>
  <si>
    <t>40MM</t>
  </si>
  <si>
    <t>DUPONT SORONA LABEL</t>
  </si>
  <si>
    <t>8848-220-BL 8848 TREAT WITH CARE LABEL (BLACK)</t>
  </si>
  <si>
    <t>8848-125 NEW BIG HANG TAG (WHITE)</t>
  </si>
  <si>
    <t>4000M</t>
  </si>
  <si>
    <t>5000M</t>
  </si>
  <si>
    <t>3000M</t>
  </si>
  <si>
    <t>8848-006 EAN BARCODE STICKER (SMALL) WITH QR CODE (WHITE/BLK)</t>
  </si>
  <si>
    <t>40*65MM</t>
  </si>
  <si>
    <t>8848-001 EAN BARCODE STICKER (WHITE/BLK)</t>
  </si>
  <si>
    <t>40*40MM</t>
  </si>
  <si>
    <t>PLASTIC SEAL (ART NO TBA)</t>
  </si>
  <si>
    <t>POLYBAG</t>
  </si>
  <si>
    <t>CARTON</t>
  </si>
  <si>
    <t>DIK108-2SDDA</t>
    <phoneticPr fontId="1" type="noConversion"/>
  </si>
  <si>
    <t>DMF002-SDRUFU</t>
    <phoneticPr fontId="1" type="noConversion"/>
  </si>
  <si>
    <t>290T DOWN BAG</t>
    <phoneticPr fontId="1" type="noConversion"/>
  </si>
  <si>
    <t>QW35</t>
    <phoneticPr fontId="1" type="noConversion"/>
  </si>
  <si>
    <t>PLASTIC SNAP</t>
    <phoneticPr fontId="1" type="noConversion"/>
  </si>
  <si>
    <t>FRONT ZIP</t>
    <phoneticPr fontId="1" type="noConversion"/>
  </si>
  <si>
    <t>WAIST ZIP</t>
    <phoneticPr fontId="1" type="noConversion"/>
  </si>
  <si>
    <t>SLEEVE ZIP</t>
    <phoneticPr fontId="1" type="noConversion"/>
  </si>
  <si>
    <t>1012</t>
    <phoneticPr fontId="1" type="noConversion"/>
  </si>
  <si>
    <t>1042-3</t>
    <phoneticPr fontId="1" type="noConversion"/>
  </si>
  <si>
    <t>CD1365</t>
    <phoneticPr fontId="1" type="noConversion"/>
  </si>
  <si>
    <t>MC884810022</t>
    <phoneticPr fontId="1" type="noConversion"/>
  </si>
  <si>
    <t>MC884810031</t>
    <phoneticPr fontId="1" type="noConversion"/>
  </si>
  <si>
    <t>8848-003</t>
    <phoneticPr fontId="1" type="noConversion"/>
  </si>
  <si>
    <t>8848-220-BL</t>
    <phoneticPr fontId="1" type="noConversion"/>
  </si>
  <si>
    <t>8848-125</t>
    <phoneticPr fontId="1" type="noConversion"/>
  </si>
  <si>
    <t>8848-006</t>
    <phoneticPr fontId="1" type="noConversion"/>
  </si>
  <si>
    <t>8848-001</t>
    <phoneticPr fontId="1" type="noConversion"/>
  </si>
  <si>
    <t>STICKER</t>
    <phoneticPr fontId="1" type="noConversion"/>
  </si>
  <si>
    <t>THREAD 1</t>
    <phoneticPr fontId="1" type="noConversion"/>
  </si>
  <si>
    <t>THREAD 2</t>
    <phoneticPr fontId="1" type="noConversion"/>
  </si>
  <si>
    <t>FABRIC</t>
    <phoneticPr fontId="1" type="noConversion"/>
  </si>
  <si>
    <t>ACCESSORIES</t>
    <phoneticPr fontId="1" type="noConversion"/>
  </si>
  <si>
    <t>MATERIAL-TOTAL</t>
    <phoneticPr fontId="1" type="noConversion"/>
  </si>
  <si>
    <t>CH-831784-C02TLW</t>
    <phoneticPr fontId="1" type="noConversion"/>
  </si>
  <si>
    <t>53"</t>
  </si>
  <si>
    <t>DT-691R-H</t>
    <phoneticPr fontId="1" type="noConversion"/>
  </si>
  <si>
    <t>DMF002-3SDCE</t>
    <phoneticPr fontId="1" type="noConversion"/>
  </si>
  <si>
    <t>TY-744</t>
    <phoneticPr fontId="1" type="noConversion"/>
  </si>
  <si>
    <t>HQ-21771</t>
    <phoneticPr fontId="1" type="noConversion"/>
  </si>
  <si>
    <t>58/60"</t>
  </si>
  <si>
    <t>F/T-120G</t>
    <phoneticPr fontId="1" type="noConversion"/>
  </si>
  <si>
    <t>AM-220</t>
    <phoneticPr fontId="1" type="noConversion"/>
  </si>
  <si>
    <t>1100mm</t>
  </si>
  <si>
    <t>V#8, O/E, A/L, L/S 8 PULLER(ALT03B) (X6 BLACK)</t>
  </si>
  <si>
    <t>"KIDS USE"</t>
  </si>
  <si>
    <t>VT10#8, C/E, A/L, 8 PULLER(ALT03B) (X6 BLACK)</t>
  </si>
  <si>
    <t>CONSEAL/#5, C/E, A/L, DA5CR PULLER (V3 BLACK SILVER) (DA5CR NOT PASS FOR TWIST-4)</t>
  </si>
  <si>
    <t>ZP884810015</t>
    <phoneticPr fontId="1" type="noConversion"/>
  </si>
  <si>
    <t>ZP884810015 JR RUBBER ZIP PULLER LT BEIGE</t>
  </si>
  <si>
    <t>8*100MM</t>
  </si>
  <si>
    <t>PSTRING</t>
  </si>
  <si>
    <t>THNC70(15)</t>
  </si>
  <si>
    <t>SPB884810058</t>
  </si>
  <si>
    <t>4S PB884810058 GLOSSY 4S SOFT 8 SNAP BUTTON +PBWASA10353+PBWASA16432+PBWASA10509 LT BEIGE SHINY</t>
  </si>
  <si>
    <t>WASHER 9/3MM</t>
    <phoneticPr fontId="1" type="noConversion"/>
  </si>
  <si>
    <t>9/3/0.5MM</t>
  </si>
  <si>
    <t>WASHER 12/5MM</t>
    <phoneticPr fontId="1" type="noConversion"/>
  </si>
  <si>
    <t>(12*5MM)</t>
  </si>
  <si>
    <t>SPB884810058D</t>
  </si>
  <si>
    <t>4S PB884810058 GLOSSY 4S SOFT 8 SNAP BUTTON +PBWASA10353+PBWASA16432+PB884810041(D-PART WITH 8848 LOGO, ANIT COPPER) LT BEIGE SHINY</t>
  </si>
  <si>
    <t>WASHER 10/4MM</t>
    <phoneticPr fontId="1" type="noConversion"/>
  </si>
  <si>
    <t>(10*4MM)</t>
  </si>
  <si>
    <t>EY884810002</t>
  </si>
  <si>
    <t>EY884810002 DOUBLE METAL EYELET (8) BLACK RUBBER 032</t>
  </si>
  <si>
    <t>MC884846771</t>
    <phoneticPr fontId="1" type="noConversion"/>
  </si>
  <si>
    <t>MC884846771 LEATHER WASHER FOR DOUBLE EYELET (WHITE)</t>
  </si>
  <si>
    <t>1013(HOLE)</t>
    <phoneticPr fontId="1" type="noConversion"/>
  </si>
  <si>
    <t>HS-ST022</t>
  </si>
  <si>
    <t>1014</t>
    <phoneticPr fontId="1" type="noConversion"/>
  </si>
  <si>
    <t>GOL TAPE</t>
    <phoneticPr fontId="1" type="noConversion"/>
  </si>
  <si>
    <t>8848-215-BL</t>
    <phoneticPr fontId="1" type="noConversion"/>
  </si>
  <si>
    <t>8848-215-BL  23 SMALL HANGER LOOP (BLACK WITH BLANC 8848 LOGO)</t>
  </si>
  <si>
    <t>8848-201</t>
    <phoneticPr fontId="1" type="noConversion"/>
  </si>
  <si>
    <t>8848-201 SMALL MAIN LABEL (BLACK) (BIG STOCK AT RH WE NEED TO USE UP)</t>
  </si>
  <si>
    <t>47*35MM</t>
  </si>
  <si>
    <t>8848-29900</t>
    <phoneticPr fontId="1" type="noConversion"/>
  </si>
  <si>
    <t>8848-29900  23 SIZE LABEL (BLACK) 30(15)*11MM MID FOLDED</t>
  </si>
  <si>
    <t xml:space="preserve">8848-003 CARE LABEL (WHITE) </t>
    <phoneticPr fontId="1" type="noConversion"/>
  </si>
  <si>
    <t>SORONA</t>
    <phoneticPr fontId="1" type="noConversion"/>
  </si>
  <si>
    <t>8848-102</t>
    <phoneticPr fontId="1" type="noConversion"/>
  </si>
  <si>
    <t>8848-102 STRING FOR HAGNTAG 25CM (BLACK WITH GREY &amp; WHITE DOT)</t>
  </si>
  <si>
    <t>8848 PUNCH HOLE</t>
    <phoneticPr fontId="1" type="noConversion"/>
  </si>
  <si>
    <t>8848 LOGO PUNCH HOLE</t>
  </si>
  <si>
    <t>100*27MM</t>
  </si>
  <si>
    <t>THRAD 3</t>
    <phoneticPr fontId="1" type="noConversion"/>
  </si>
  <si>
    <t>CARTON STICKER</t>
    <phoneticPr fontId="1" type="noConversion"/>
  </si>
  <si>
    <t>SEAL</t>
    <phoneticPr fontId="1" type="noConversion"/>
  </si>
  <si>
    <t>JACKET 2  5139</t>
  </si>
  <si>
    <t>Country of oigin</t>
  </si>
  <si>
    <t>China</t>
  </si>
  <si>
    <t>Supplier</t>
  </si>
  <si>
    <t>Smartex</t>
  </si>
  <si>
    <t>YKK</t>
  </si>
  <si>
    <t>Wasa</t>
  </si>
  <si>
    <t xml:space="preserve"> </t>
  </si>
  <si>
    <t>Texcon</t>
  </si>
  <si>
    <t>Rudholm</t>
  </si>
  <si>
    <r>
      <t xml:space="preserve">DMF002-SDRUFU+ PU CLEAR COATING + WR(FC FREE) 80G/SQM 300MM WP </t>
    </r>
    <r>
      <rPr>
        <b/>
        <sz val="10"/>
        <color rgb="FF000000"/>
        <rFont val="Arial"/>
        <family val="2"/>
      </rPr>
      <t>100% POLYESTER</t>
    </r>
  </si>
  <si>
    <r>
      <t xml:space="preserve">STRING PULLER (BLACK) </t>
    </r>
    <r>
      <rPr>
        <b/>
        <sz val="10"/>
        <color rgb="FF000000"/>
        <rFont val="Arial"/>
        <family val="2"/>
      </rPr>
      <t>100% POLYESTER</t>
    </r>
  </si>
  <si>
    <r>
      <t xml:space="preserve">HNC-70 TAPE (WHITE) FOR TACKING </t>
    </r>
    <r>
      <rPr>
        <b/>
        <sz val="10"/>
        <color rgb="FF000000"/>
        <rFont val="Arial"/>
        <family val="2"/>
      </rPr>
      <t xml:space="preserve">90% NYLON 10% POLYURETHANE </t>
    </r>
  </si>
  <si>
    <r>
      <t xml:space="preserve">1012 METAL LOOK O-RING STOPPER </t>
    </r>
    <r>
      <rPr>
        <b/>
        <sz val="10"/>
        <color rgb="FF000000"/>
        <rFont val="Arial"/>
        <family val="2"/>
      </rPr>
      <t>100% POLYPROPYLENE</t>
    </r>
  </si>
  <si>
    <r>
      <t xml:space="preserve">1042 NORMAL E/STRING </t>
    </r>
    <r>
      <rPr>
        <b/>
        <sz val="10"/>
        <color rgb="FF000000"/>
        <rFont val="Arial"/>
        <family val="2"/>
      </rPr>
      <t xml:space="preserve"> 40% POLYESTER 60% RUBBER </t>
    </r>
  </si>
  <si>
    <r>
      <t xml:space="preserve">ASTRA POLY SPUN 50S/3  (TEX30) </t>
    </r>
    <r>
      <rPr>
        <b/>
        <sz val="10"/>
        <color rgb="FF000000"/>
        <rFont val="Arial"/>
        <family val="2"/>
      </rPr>
      <t>100% POLYESTER</t>
    </r>
  </si>
  <si>
    <r>
      <t xml:space="preserve">ASTRA POLY SPUN 60S/3  (TEX27) </t>
    </r>
    <r>
      <rPr>
        <b/>
        <sz val="10"/>
        <color rgb="FF000000"/>
        <rFont val="Arial"/>
        <family val="2"/>
      </rPr>
      <t>100% POLYESTER</t>
    </r>
  </si>
  <si>
    <r>
      <t xml:space="preserve">POLY SPUN 60'S/3   </t>
    </r>
    <r>
      <rPr>
        <b/>
        <sz val="10"/>
        <color rgb="FF000000"/>
        <rFont val="Arial"/>
        <family val="2"/>
      </rPr>
      <t>100% POLYESTER</t>
    </r>
  </si>
  <si>
    <r>
      <t xml:space="preserve">POLYBAG, PE0.045MM </t>
    </r>
    <r>
      <rPr>
        <b/>
        <sz val="10"/>
        <color rgb="FF000000"/>
        <rFont val="Arial"/>
        <family val="2"/>
      </rPr>
      <t>100% POLYETHYLENE</t>
    </r>
  </si>
  <si>
    <r>
      <t xml:space="preserve">CTN BOX, PAD(60*40*40(HEIGHT))  </t>
    </r>
    <r>
      <rPr>
        <b/>
        <sz val="10"/>
        <color rgb="FF000000"/>
        <rFont val="Arial"/>
        <family val="2"/>
      </rPr>
      <t>100% PAPER PULP</t>
    </r>
  </si>
  <si>
    <t>Weigth/unit</t>
  </si>
  <si>
    <r>
      <t xml:space="preserve">CH-831784-C02TLW, </t>
    </r>
    <r>
      <rPr>
        <b/>
        <sz val="10"/>
        <color rgb="FF000000"/>
        <rFont val="Arial"/>
        <family val="2"/>
      </rPr>
      <t>100% POLYESTER</t>
    </r>
    <r>
      <rPr>
        <sz val="10"/>
        <color rgb="FF000000"/>
        <rFont val="Arial"/>
        <family val="2"/>
      </rPr>
      <t>, PD/C0, DWR/FACE CIRE/2LAYER TPU WHITE LAMINATION, 10K/7K(JIS), 70G/M2 10000/7000</t>
    </r>
  </si>
  <si>
    <r>
      <t xml:space="preserve">DT-691R-H, </t>
    </r>
    <r>
      <rPr>
        <b/>
        <sz val="10"/>
        <color rgb="FF000000"/>
        <rFont val="Arial"/>
        <family val="2"/>
      </rPr>
      <t>100% RECYCLE POLYESTER</t>
    </r>
    <r>
      <rPr>
        <sz val="10"/>
        <color rgb="FF000000"/>
        <rFont val="Arial"/>
        <family val="2"/>
      </rPr>
      <t>, FDS 2 LAYER, TPU, C0.100,80/5, 150D*150D, 168GSM 5000/5000</t>
    </r>
  </si>
  <si>
    <r>
      <t xml:space="preserve">DMF002-3SDCE, 8848 EMBOSSED WITH CIRE FINISH, </t>
    </r>
    <r>
      <rPr>
        <b/>
        <sz val="10"/>
        <color rgb="FF000000"/>
        <rFont val="Arial"/>
        <family val="2"/>
      </rPr>
      <t>100% POLYESTER</t>
    </r>
    <r>
      <rPr>
        <sz val="10"/>
        <color rgb="FF000000"/>
        <rFont val="Arial"/>
        <family val="2"/>
      </rPr>
      <t xml:space="preserve"> SPIN DYED POLY MICRO FIBER 70G/SQM</t>
    </r>
  </si>
  <si>
    <r>
      <t>BRUSHED TRICOT (A-260) (</t>
    </r>
    <r>
      <rPr>
        <b/>
        <sz val="10"/>
        <color rgb="FF000000"/>
        <rFont val="Arial"/>
        <family val="2"/>
      </rPr>
      <t>100% POLYESTER</t>
    </r>
    <r>
      <rPr>
        <sz val="10"/>
        <color rgb="FF000000"/>
        <rFont val="Arial"/>
        <family val="2"/>
      </rPr>
      <t>) 260G</t>
    </r>
  </si>
  <si>
    <r>
      <t>HQ-21771 (</t>
    </r>
    <r>
      <rPr>
        <b/>
        <sz val="10"/>
        <color rgb="FF000000"/>
        <rFont val="Arial"/>
        <family val="2"/>
      </rPr>
      <t>100% POLYESTER</t>
    </r>
    <r>
      <rPr>
        <sz val="10"/>
        <color rgb="FF000000"/>
        <rFont val="Arial"/>
        <family val="2"/>
      </rPr>
      <t>) MICRO FLEECE ONE SIDE BRUSHED 200GR/YD</t>
    </r>
  </si>
  <si>
    <r>
      <t>DIK108-2SDDA, POLY STRETC INTERLOCK,</t>
    </r>
    <r>
      <rPr>
        <b/>
        <sz val="10"/>
        <color rgb="FF000000"/>
        <rFont val="Arial"/>
        <family val="2"/>
      </rPr>
      <t xml:space="preserve"> 82% DOPE DYED POLYESTER/18% SPANDE</t>
    </r>
    <r>
      <rPr>
        <sz val="10"/>
        <color rgb="FF000000"/>
        <rFont val="Arial"/>
        <family val="2"/>
      </rPr>
      <t>X, 50D/72F DTY+400 OP 230G/M2</t>
    </r>
  </si>
  <si>
    <r>
      <t>POLY DOWN BAG 290T (WHITE) 1</t>
    </r>
    <r>
      <rPr>
        <b/>
        <sz val="10"/>
        <color rgb="FF000000"/>
        <rFont val="Arial"/>
        <family val="2"/>
      </rPr>
      <t>00% POLYESTER</t>
    </r>
  </si>
  <si>
    <r>
      <t>STS-M3F, SUGENRO(CONTAIN</t>
    </r>
    <r>
      <rPr>
        <b/>
        <sz val="10"/>
        <color rgb="FF000000"/>
        <rFont val="Arial"/>
        <family val="2"/>
      </rPr>
      <t xml:space="preserve"> 76% ECO-M3F FIBER) AND DUPONT SORONA(CONTAINS 24% SORONA FIBER</t>
    </r>
    <r>
      <rPr>
        <sz val="10"/>
        <color rgb="FF000000"/>
        <rFont val="Arial"/>
        <family val="2"/>
      </rPr>
      <t>) MIXED FIBER BALL PADDING (WHITE)</t>
    </r>
  </si>
  <si>
    <r>
      <t>F/T PADDING 120G (</t>
    </r>
    <r>
      <rPr>
        <b/>
        <sz val="10"/>
        <color rgb="FF000000"/>
        <rFont val="Arial"/>
        <family val="2"/>
      </rPr>
      <t>RECYCLED  POLY 30%/ 70% POLYESTER</t>
    </r>
    <r>
      <rPr>
        <sz val="10"/>
        <color rgb="FF000000"/>
        <rFont val="Arial"/>
        <family val="2"/>
      </rPr>
      <t>) (WHITE)</t>
    </r>
  </si>
  <si>
    <r>
      <t>QW35 INTERLINING (WHITE) (</t>
    </r>
    <r>
      <rPr>
        <b/>
        <sz val="10"/>
        <color rgb="FF000000"/>
        <rFont val="Arial"/>
        <family val="2"/>
      </rPr>
      <t>100% POLYESTER</t>
    </r>
    <r>
      <rPr>
        <sz val="10"/>
        <color rgb="FF000000"/>
        <rFont val="Arial"/>
        <family val="2"/>
      </rPr>
      <t>)</t>
    </r>
  </si>
  <si>
    <r>
      <t xml:space="preserve">HOT MELT AM-220 (CLEAR) </t>
    </r>
    <r>
      <rPr>
        <b/>
        <sz val="10"/>
        <color rgb="FF000000"/>
        <rFont val="Arial"/>
        <family val="2"/>
      </rPr>
      <t>100% Polyurethane</t>
    </r>
  </si>
  <si>
    <r>
      <t xml:space="preserve">9/3MM SNAP POLY WASHER (UNDER JR 4S SNAP A/B) (CLEAR) </t>
    </r>
    <r>
      <rPr>
        <b/>
        <sz val="10"/>
        <color rgb="FF000000"/>
        <rFont val="Arial"/>
        <family val="2"/>
      </rPr>
      <t>100% POLYPROPYLENE</t>
    </r>
  </si>
  <si>
    <r>
      <t xml:space="preserve">PLASTIC WASHER (UNDER SNAP C/D) (CLEAR) </t>
    </r>
    <r>
      <rPr>
        <b/>
        <sz val="10"/>
        <color rgb="FF000000"/>
        <rFont val="Arial"/>
        <family val="2"/>
      </rPr>
      <t xml:space="preserve">100% POLYPROPYLENE </t>
    </r>
  </si>
  <si>
    <r>
      <t xml:space="preserve">10/4MM POLY PLASTIC WASHER (UNDER JR 4S CAP SNAP C/D) (CLEAR)  </t>
    </r>
    <r>
      <rPr>
        <b/>
        <sz val="10"/>
        <color rgb="FF000000"/>
        <rFont val="Arial"/>
        <family val="2"/>
      </rPr>
      <t xml:space="preserve">100% POLYPROPYLENE </t>
    </r>
  </si>
  <si>
    <r>
      <t xml:space="preserve">1013 MINI ROUND PLASTIC FLAT STOPPER (SIDE HOLE) (BLACK RUBBER) </t>
    </r>
    <r>
      <rPr>
        <b/>
        <sz val="10"/>
        <color rgb="FF000000"/>
        <rFont val="Arial"/>
        <family val="2"/>
      </rPr>
      <t>100% POLYPROPYLENE</t>
    </r>
  </si>
  <si>
    <r>
      <t xml:space="preserve">1014 NYLON GOL TAPE (BLACK) </t>
    </r>
    <r>
      <rPr>
        <b/>
        <sz val="10"/>
        <color rgb="FF000000"/>
        <rFont val="Arial"/>
        <family val="2"/>
      </rPr>
      <t>100% POLYESTER</t>
    </r>
  </si>
  <si>
    <r>
      <t xml:space="preserve">NYLON GOL TAPE (BLACK) </t>
    </r>
    <r>
      <rPr>
        <b/>
        <sz val="10"/>
        <color rgb="FF000000"/>
        <rFont val="Arial"/>
        <family val="2"/>
      </rPr>
      <t>100% POLYESTE</t>
    </r>
    <r>
      <rPr>
        <sz val="10"/>
        <color rgb="FF000000"/>
        <rFont val="Arial"/>
        <family val="2"/>
      </rPr>
      <t>R</t>
    </r>
  </si>
  <si>
    <t>Samtex</t>
  </si>
  <si>
    <t>Dry Tex</t>
  </si>
  <si>
    <t>Gross weight  Kg</t>
  </si>
  <si>
    <t xml:space="preserve">Förklaring </t>
  </si>
  <si>
    <t>Shell fabric</t>
  </si>
  <si>
    <t>Lining</t>
  </si>
  <si>
    <t>Insulation</t>
  </si>
  <si>
    <t>Tape</t>
  </si>
  <si>
    <t>Zipper</t>
  </si>
  <si>
    <t>Trim</t>
  </si>
  <si>
    <t>Snap</t>
  </si>
  <si>
    <t>Lable</t>
  </si>
  <si>
    <t>Hangtag</t>
  </si>
  <si>
    <t>Thread</t>
  </si>
  <si>
    <t>Polybag</t>
  </si>
  <si>
    <t>Export Carton</t>
  </si>
  <si>
    <t>Shipping mode</t>
  </si>
  <si>
    <t>Truck</t>
  </si>
  <si>
    <t xml:space="preserve">Production order qty: </t>
  </si>
  <si>
    <t>80 days</t>
  </si>
  <si>
    <t>FOB Dalian - Gothenburg, Boat</t>
  </si>
  <si>
    <t>Jacket 2, 5139</t>
  </si>
  <si>
    <t>395 pcs</t>
  </si>
  <si>
    <t>* Shipped by boat in FCL 40'HC  containter with other goods</t>
  </si>
  <si>
    <t>Dongguan City</t>
  </si>
  <si>
    <t>Hong Kong</t>
  </si>
  <si>
    <t xml:space="preserve">Taipei </t>
  </si>
  <si>
    <t>Shenzhen City</t>
  </si>
  <si>
    <t xml:space="preserve">Shenzhen City </t>
  </si>
  <si>
    <t>Prod. Location/City Ex port</t>
  </si>
  <si>
    <t>Arrival port</t>
  </si>
  <si>
    <t>Ex port</t>
  </si>
  <si>
    <t>TOTAL                   Km</t>
  </si>
  <si>
    <t xml:space="preserve"> Transport no. 2                  Km</t>
  </si>
  <si>
    <t xml:space="preserve"> Transport no. 1                 Km</t>
  </si>
  <si>
    <t xml:space="preserve">Gament production Country origin: </t>
  </si>
  <si>
    <t>CO2 kg/garment*</t>
  </si>
  <si>
    <t>China</t>
    <phoneticPr fontId="1" type="noConversion"/>
  </si>
  <si>
    <t>Korea</t>
    <phoneticPr fontId="1" type="noConversion"/>
  </si>
  <si>
    <t>CN YTL</t>
    <phoneticPr fontId="1" type="noConversion"/>
  </si>
  <si>
    <t>Hymax</t>
    <phoneticPr fontId="1" type="noConversion"/>
  </si>
  <si>
    <t>Hamin</t>
    <phoneticPr fontId="1" type="noConversion"/>
  </si>
  <si>
    <t>Hanshin</t>
    <phoneticPr fontId="1" type="noConversion"/>
  </si>
  <si>
    <t>Coats</t>
    <phoneticPr fontId="1" type="noConversion"/>
  </si>
  <si>
    <t>Shenhao</t>
    <phoneticPr fontId="1" type="noConversion"/>
  </si>
  <si>
    <t>China/ Suzhou</t>
    <phoneticPr fontId="1" type="noConversion"/>
  </si>
  <si>
    <t>Korea/ Pocheon</t>
    <phoneticPr fontId="1" type="noConversion"/>
  </si>
  <si>
    <t>Yingkou bonded</t>
    <phoneticPr fontId="1" type="noConversion"/>
  </si>
  <si>
    <t>Dashiqiao</t>
    <phoneticPr fontId="1" type="noConversion"/>
  </si>
  <si>
    <t>Truck</t>
    <phoneticPr fontId="1" type="noConversion"/>
  </si>
  <si>
    <t>China</t>
    <phoneticPr fontId="1" type="noConversion"/>
  </si>
  <si>
    <t>Pacific mesh</t>
    <phoneticPr fontId="1" type="noConversion"/>
  </si>
  <si>
    <t>Ducksung</t>
    <phoneticPr fontId="1" type="noConversion"/>
  </si>
  <si>
    <t>CN YTL</t>
    <phoneticPr fontId="1" type="noConversion"/>
  </si>
  <si>
    <t>Huirong</t>
    <phoneticPr fontId="1" type="noConversion"/>
  </si>
  <si>
    <t>Xinda</t>
    <phoneticPr fontId="1" type="noConversion"/>
  </si>
  <si>
    <t>Himel</t>
    <phoneticPr fontId="1" type="noConversion"/>
  </si>
  <si>
    <t>YKK</t>
    <phoneticPr fontId="1" type="noConversion"/>
  </si>
  <si>
    <t>Korea</t>
    <phoneticPr fontId="1" type="noConversion"/>
  </si>
  <si>
    <t>Hanshin</t>
    <phoneticPr fontId="1" type="noConversion"/>
  </si>
  <si>
    <t>Hamin</t>
    <phoneticPr fontId="1" type="noConversion"/>
  </si>
  <si>
    <t>Shenhao</t>
    <phoneticPr fontId="1" type="noConversion"/>
  </si>
  <si>
    <t>Coats</t>
    <phoneticPr fontId="1" type="noConversion"/>
  </si>
  <si>
    <t>Korea/ Pocheon</t>
    <phoneticPr fontId="1" type="noConversion"/>
  </si>
  <si>
    <t>China/ Haining</t>
    <phoneticPr fontId="1" type="noConversion"/>
  </si>
  <si>
    <t>Yingkou bonded</t>
    <phoneticPr fontId="1" type="noConversion"/>
  </si>
  <si>
    <t>Vessel</t>
  </si>
  <si>
    <t>Vessel</t>
    <phoneticPr fontId="1" type="noConversion"/>
  </si>
  <si>
    <t>Truck</t>
    <phoneticPr fontId="1" type="noConversion"/>
  </si>
  <si>
    <t>Truck</t>
    <phoneticPr fontId="1" type="noConversion"/>
  </si>
  <si>
    <t>Incheon</t>
    <phoneticPr fontId="1" type="noConversion"/>
  </si>
  <si>
    <t>Yingkou</t>
    <phoneticPr fontId="1" type="noConversion"/>
  </si>
  <si>
    <t>Yingkou</t>
    <phoneticPr fontId="1" type="noConversion"/>
  </si>
  <si>
    <t>Qingdao</t>
    <phoneticPr fontId="1" type="noConversion"/>
  </si>
  <si>
    <t>Incheon</t>
    <phoneticPr fontId="1" type="noConversion"/>
  </si>
  <si>
    <t>Suzhou</t>
    <phoneticPr fontId="1" type="noConversion"/>
  </si>
  <si>
    <t>Dashiqiao</t>
    <phoneticPr fontId="1" type="noConversion"/>
  </si>
  <si>
    <t>Dashiqiao</t>
    <phoneticPr fontId="1" type="noConversion"/>
  </si>
  <si>
    <t>Dashiqiao</t>
    <phoneticPr fontId="1" type="noConversion"/>
  </si>
  <si>
    <t>Truck</t>
    <phoneticPr fontId="1" type="noConversion"/>
  </si>
  <si>
    <t>Quanzhou</t>
    <phoneticPr fontId="1" type="noConversion"/>
  </si>
  <si>
    <t>Truck</t>
    <phoneticPr fontId="1" type="noConversion"/>
  </si>
  <si>
    <t>Quanzhou</t>
    <phoneticPr fontId="1" type="noConversion"/>
  </si>
  <si>
    <t>Dashiqiao</t>
    <phoneticPr fontId="1" type="noConversion"/>
  </si>
  <si>
    <t>Truck</t>
    <phoneticPr fontId="1" type="noConversion"/>
  </si>
  <si>
    <t>Dashiqiao</t>
    <phoneticPr fontId="1" type="noConversion"/>
  </si>
  <si>
    <t>Truck</t>
    <phoneticPr fontId="1" type="noConversion"/>
  </si>
  <si>
    <t>Qingdao</t>
    <phoneticPr fontId="1" type="noConversion"/>
  </si>
  <si>
    <t>Taiwan</t>
    <phoneticPr fontId="1" type="noConversion"/>
  </si>
  <si>
    <t>Wasa</t>
    <phoneticPr fontId="1" type="noConversion"/>
  </si>
  <si>
    <t>Incheon</t>
    <phoneticPr fontId="1" type="noConversion"/>
  </si>
  <si>
    <t>Yingkou</t>
    <phoneticPr fontId="1" type="noConversion"/>
  </si>
  <si>
    <t>Vessel</t>
    <phoneticPr fontId="1" type="noConversion"/>
  </si>
  <si>
    <t xml:space="preserve"> Transport no. 3                 Km</t>
    <phoneticPr fontId="1" type="noConversion"/>
  </si>
  <si>
    <t>Incheon</t>
    <phoneticPr fontId="1" type="noConversion"/>
  </si>
  <si>
    <t>Incheon</t>
    <phoneticPr fontId="1" type="noConversion"/>
  </si>
  <si>
    <t>Incheon</t>
    <phoneticPr fontId="1" type="noConversion"/>
  </si>
  <si>
    <t>Korea/ Pocheon</t>
    <phoneticPr fontId="1" type="noConversion"/>
  </si>
  <si>
    <t>Korea/ Bucheon</t>
    <phoneticPr fontId="1" type="noConversion"/>
  </si>
  <si>
    <t>Incheon</t>
    <phoneticPr fontId="1" type="noConversion"/>
  </si>
  <si>
    <t>Yingkou</t>
    <phoneticPr fontId="1" type="noConversion"/>
  </si>
  <si>
    <t>Yingkou</t>
    <phoneticPr fontId="1" type="noConversion"/>
  </si>
  <si>
    <t>Vessel</t>
    <phoneticPr fontId="1" type="noConversion"/>
  </si>
  <si>
    <t>Vessel</t>
    <phoneticPr fontId="1" type="noConversion"/>
  </si>
  <si>
    <t>Incheon</t>
    <phoneticPr fontId="1" type="noConversion"/>
  </si>
  <si>
    <t>Incheon</t>
    <phoneticPr fontId="1" type="noConversion"/>
  </si>
  <si>
    <t>Yingkou</t>
    <phoneticPr fontId="1" type="noConversion"/>
  </si>
  <si>
    <t>Vessel</t>
    <phoneticPr fontId="1" type="noConversion"/>
  </si>
  <si>
    <t>Korea/ Bucheon</t>
    <phoneticPr fontId="1" type="noConversion"/>
  </si>
  <si>
    <t>Vessel</t>
    <phoneticPr fontId="1" type="noConversion"/>
  </si>
  <si>
    <t>Yingkou</t>
    <phoneticPr fontId="1" type="noConversion"/>
  </si>
  <si>
    <t>China/ Zhejiang</t>
    <phoneticPr fontId="1" type="noConversion"/>
  </si>
  <si>
    <t>Korea/ Gwangju</t>
    <phoneticPr fontId="1" type="noConversion"/>
  </si>
  <si>
    <t>Incheon</t>
    <phoneticPr fontId="1" type="noConversion"/>
  </si>
  <si>
    <t>Incheon</t>
    <phoneticPr fontId="1" type="noConversion"/>
  </si>
  <si>
    <t>Yingkou</t>
    <phoneticPr fontId="1" type="noConversion"/>
  </si>
  <si>
    <t>Vessel</t>
    <phoneticPr fontId="1" type="noConversion"/>
  </si>
  <si>
    <t>Korea/ Gwangju</t>
    <phoneticPr fontId="1" type="noConversion"/>
  </si>
  <si>
    <t>Incheon</t>
    <phoneticPr fontId="1" type="noConversion"/>
  </si>
  <si>
    <t>Yingkou</t>
    <phoneticPr fontId="1" type="noConversion"/>
  </si>
  <si>
    <t>China/ Dalian</t>
    <phoneticPr fontId="1" type="noConversion"/>
  </si>
  <si>
    <t>Dashiqiao</t>
    <phoneticPr fontId="1" type="noConversion"/>
  </si>
  <si>
    <t>Truck</t>
    <phoneticPr fontId="1" type="noConversion"/>
  </si>
  <si>
    <t>China/ Suzhou</t>
    <phoneticPr fontId="1" type="noConversion"/>
  </si>
  <si>
    <t>Korea/ Pocheon</t>
    <phoneticPr fontId="1" type="noConversion"/>
  </si>
  <si>
    <t>Incheon</t>
    <phoneticPr fontId="1" type="noConversion"/>
  </si>
  <si>
    <t>Truck</t>
    <phoneticPr fontId="1" type="noConversion"/>
  </si>
  <si>
    <t>Incheon</t>
    <phoneticPr fontId="1" type="noConversion"/>
  </si>
  <si>
    <t>Truck</t>
    <phoneticPr fontId="1" type="noConversion"/>
  </si>
  <si>
    <t>Hong Kong</t>
    <phoneticPr fontId="1" type="noConversion"/>
  </si>
  <si>
    <t>Hong Kong</t>
    <phoneticPr fontId="1" type="noConversion"/>
  </si>
  <si>
    <t>Incheon</t>
    <phoneticPr fontId="1" type="noConversion"/>
  </si>
  <si>
    <t>Incheon</t>
    <phoneticPr fontId="1" type="noConversion"/>
  </si>
  <si>
    <t>Incheon</t>
    <phoneticPr fontId="1" type="noConversion"/>
  </si>
  <si>
    <t>Yingkou</t>
    <phoneticPr fontId="1" type="noConversion"/>
  </si>
  <si>
    <t>Truck</t>
    <phoneticPr fontId="1" type="noConversion"/>
  </si>
  <si>
    <t>Vessel</t>
    <phoneticPr fontId="1" type="noConversion"/>
  </si>
  <si>
    <t>Hong Kong</t>
    <phoneticPr fontId="1" type="noConversion"/>
  </si>
  <si>
    <t>Truck</t>
    <phoneticPr fontId="1" type="noConversion"/>
  </si>
  <si>
    <t>Truck</t>
    <phoneticPr fontId="1" type="noConversion"/>
  </si>
  <si>
    <t>Hong Kong</t>
    <phoneticPr fontId="1" type="noConversion"/>
  </si>
  <si>
    <t>Incheon</t>
    <phoneticPr fontId="1" type="noConversion"/>
  </si>
  <si>
    <t>Suzhou</t>
    <phoneticPr fontId="1" type="noConversion"/>
  </si>
  <si>
    <t>Yingkou bonded</t>
    <phoneticPr fontId="1" type="noConversion"/>
  </si>
  <si>
    <t>China/ Suzhou</t>
    <phoneticPr fontId="1" type="noConversion"/>
  </si>
  <si>
    <t>Yingkou bonded</t>
    <phoneticPr fontId="1" type="noConversion"/>
  </si>
  <si>
    <t>Yingkou bonded</t>
    <phoneticPr fontId="1" type="noConversion"/>
  </si>
  <si>
    <t>Hong Kong</t>
    <phoneticPr fontId="1" type="noConversion"/>
  </si>
  <si>
    <t>Vessel</t>
    <phoneticPr fontId="1" type="noConversion"/>
  </si>
  <si>
    <t>Yingkou</t>
    <phoneticPr fontId="1" type="noConversion"/>
  </si>
  <si>
    <t>China/ Dalian</t>
    <phoneticPr fontId="1" type="noConversion"/>
  </si>
  <si>
    <t>Yingkou bonded</t>
    <phoneticPr fontId="1" type="noConversion"/>
  </si>
  <si>
    <t>China/ Dalian</t>
    <phoneticPr fontId="1" type="noConversion"/>
  </si>
  <si>
    <t>Yingkou bonded</t>
    <phoneticPr fontId="1" type="noConversion"/>
  </si>
  <si>
    <t xml:space="preserve">Taipei </t>
    <phoneticPr fontId="1" type="noConversion"/>
  </si>
  <si>
    <t>Dalian</t>
    <phoneticPr fontId="1" type="noConversion"/>
  </si>
  <si>
    <t>Air</t>
    <phoneticPr fontId="1" type="noConversion"/>
  </si>
  <si>
    <t>Dalian</t>
    <phoneticPr fontId="1" type="noConversion"/>
  </si>
  <si>
    <t>Yingkou bonded</t>
    <phoneticPr fontId="1" type="noConversion"/>
  </si>
  <si>
    <t>Truck</t>
    <phoneticPr fontId="1" type="noConversion"/>
  </si>
  <si>
    <t>Yingkou bonded</t>
  </si>
  <si>
    <t>Yingkou bonded</t>
    <phoneticPr fontId="1" type="noConversion"/>
  </si>
  <si>
    <t>Truck</t>
    <phoneticPr fontId="1" type="noConversion"/>
  </si>
  <si>
    <t>Yingkou</t>
    <phoneticPr fontId="1" type="noConversion"/>
  </si>
  <si>
    <t>Dasiqiao</t>
    <phoneticPr fontId="1" type="noConversion"/>
  </si>
  <si>
    <t>Dasiqiao</t>
    <phoneticPr fontId="1" type="noConversion"/>
  </si>
  <si>
    <t>Truck</t>
    <phoneticPr fontId="1" type="noConversion"/>
  </si>
  <si>
    <t>Yingkou bonded</t>
    <phoneticPr fontId="1" type="noConversion"/>
  </si>
  <si>
    <t>Truck</t>
    <phoneticPr fontId="1" type="noConversion"/>
  </si>
  <si>
    <t>KE-CN 01</t>
    <phoneticPr fontId="1" type="noConversion"/>
  </si>
  <si>
    <t>KE-CN 01</t>
    <phoneticPr fontId="1" type="noConversion"/>
  </si>
  <si>
    <t>YKK-04</t>
    <phoneticPr fontId="1" type="noConversion"/>
  </si>
  <si>
    <t>YTL-06</t>
    <phoneticPr fontId="1" type="noConversion"/>
  </si>
  <si>
    <t>KE-CN 01</t>
    <phoneticPr fontId="1" type="noConversion"/>
  </si>
  <si>
    <t>COATS-05</t>
    <phoneticPr fontId="1" type="noConversion"/>
  </si>
  <si>
    <t>COATS-05</t>
    <phoneticPr fontId="1" type="noConversion"/>
  </si>
  <si>
    <t>EDYE-02</t>
    <phoneticPr fontId="1" type="noConversion"/>
  </si>
  <si>
    <t>EDYE-02</t>
    <phoneticPr fontId="1" type="noConversion"/>
  </si>
  <si>
    <t>YKK-04</t>
    <phoneticPr fontId="1" type="noConversion"/>
  </si>
  <si>
    <t>YTL-06</t>
    <phoneticPr fontId="1" type="noConversion"/>
  </si>
  <si>
    <t>KE-CN 01</t>
    <phoneticPr fontId="1" type="noConversion"/>
  </si>
  <si>
    <t>KE-CN 01</t>
    <phoneticPr fontId="1" type="noConversion"/>
  </si>
  <si>
    <t>Consolidated shpmt (fill out with shpmt code)</t>
    <phoneticPr fontId="1" type="noConversion"/>
  </si>
  <si>
    <t>Consolidated shpmt (fill out with shpmt code)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</si>
</sst>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00"/>
    <numFmt numFmtId="165" formatCode="0.000"/>
    <numFmt numFmtId="166" formatCode="0.0000"/>
  </numFmts>
  <fonts count="9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0"/>
      <color rgb="FF000000"/>
      <name val="Arial"/>
      <family val="2"/>
    </font>
    <font>
      <sz val="10"/>
      <color theme="1"/>
      <name val="Calibri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1F968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49" fontId="4" fillId="2" borderId="1" xfId="0" applyNumberFormat="1" applyFont="1" applyFill="1" applyBorder="1">
      <alignment vertical="center"/>
    </xf>
    <xf numFmtId="164" fontId="4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165" fontId="3" fillId="0" borderId="0" xfId="0" applyNumberFormat="1" applyFont="1">
      <alignment vertical="center"/>
    </xf>
    <xf numFmtId="49" fontId="2" fillId="4" borderId="1" xfId="0" applyNumberFormat="1" applyFont="1" applyFill="1" applyBorder="1">
      <alignment vertical="center"/>
    </xf>
    <xf numFmtId="49" fontId="4" fillId="4" borderId="1" xfId="0" applyNumberFormat="1" applyFont="1" applyFill="1" applyBorder="1">
      <alignment vertical="center"/>
    </xf>
    <xf numFmtId="164" fontId="4" fillId="4" borderId="1" xfId="0" applyNumberFormat="1" applyFont="1" applyFill="1" applyBorder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166" fontId="3" fillId="0" borderId="0" xfId="0" applyNumberFormat="1" applyFo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/>
    </xf>
    <xf numFmtId="165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165" fontId="7" fillId="4" borderId="1" xfId="0" applyNumberFormat="1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>
      <alignment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>
      <alignment vertical="center"/>
    </xf>
    <xf numFmtId="0" fontId="3" fillId="7" borderId="1" xfId="0" applyFont="1" applyFill="1" applyBorder="1">
      <alignment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49" fontId="2" fillId="8" borderId="2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>
      <alignment vertical="center"/>
    </xf>
    <xf numFmtId="165" fontId="4" fillId="2" borderId="1" xfId="0" applyNumberFormat="1" applyFont="1" applyFill="1" applyBorder="1">
      <alignment vertical="center"/>
    </xf>
    <xf numFmtId="165" fontId="4" fillId="0" borderId="1" xfId="0" applyNumberFormat="1" applyFont="1" applyBorder="1">
      <alignment vertical="center"/>
    </xf>
    <xf numFmtId="0" fontId="7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3" fontId="7" fillId="5" borderId="1" xfId="0" applyNumberFormat="1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7" fillId="0" borderId="0" xfId="0" applyFont="1">
      <alignment vertical="center"/>
    </xf>
    <xf numFmtId="166" fontId="7" fillId="0" borderId="0" xfId="0" applyNumberFormat="1" applyFont="1">
      <alignment vertical="center"/>
    </xf>
    <xf numFmtId="165" fontId="7" fillId="0" borderId="0" xfId="0" applyNumberFormat="1" applyFont="1">
      <alignment vertical="center"/>
    </xf>
    <xf numFmtId="3" fontId="7" fillId="7" borderId="1" xfId="0" applyNumberFormat="1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F9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2"/>
  <sheetViews>
    <sheetView tabSelected="1" topLeftCell="C1" workbookViewId="0">
      <selection activeCell="Y1" sqref="Y1:Y1048576"/>
    </sheetView>
  </sheetViews>
  <sheetFormatPr baseColWidth="10" defaultColWidth="8.83203125" defaultRowHeight="14" x14ac:dyDescent="0.2"/>
  <cols>
    <col min="1" max="1" width="20.83203125" style="2" customWidth="1"/>
    <col min="2" max="2" width="22" style="2" customWidth="1"/>
    <col min="3" max="3" width="125.5" style="2" customWidth="1"/>
    <col min="4" max="4" width="11.1640625" style="2" bestFit="1" customWidth="1"/>
    <col min="5" max="5" width="11.5" style="2" customWidth="1"/>
    <col min="6" max="6" width="14.1640625" style="11" customWidth="1"/>
    <col min="7" max="7" width="11.6640625" style="6" customWidth="1"/>
    <col min="8" max="8" width="15.33203125" style="2" customWidth="1"/>
    <col min="9" max="9" width="13.83203125" style="2" customWidth="1"/>
    <col min="10" max="10" width="14" style="2" customWidth="1"/>
    <col min="11" max="11" width="13" style="2" customWidth="1"/>
    <col min="12" max="12" width="11.33203125" style="2" customWidth="1"/>
    <col min="13" max="14" width="14.1640625" style="2" customWidth="1"/>
    <col min="15" max="15" width="14.5" style="2" customWidth="1"/>
    <col min="16" max="16" width="14.1640625" style="2" customWidth="1"/>
    <col min="17" max="17" width="10.5" style="2" customWidth="1"/>
    <col min="18" max="18" width="12.1640625" style="2" customWidth="1"/>
    <col min="19" max="19" width="13.33203125" style="2" customWidth="1"/>
    <col min="20" max="20" width="14.1640625" style="2" customWidth="1"/>
    <col min="21" max="21" width="13.83203125" style="2" customWidth="1"/>
    <col min="22" max="22" width="9.5" style="2" customWidth="1"/>
    <col min="23" max="23" width="18" style="2" customWidth="1"/>
    <col min="24" max="24" width="14" style="2" customWidth="1"/>
    <col min="25" max="16384" width="8.83203125" style="2"/>
  </cols>
  <sheetData>
    <row r="1" spans="1:24" ht="47" customHeight="1" x14ac:dyDescent="0.2">
      <c r="A1" s="1" t="s">
        <v>0</v>
      </c>
      <c r="B1" s="1" t="s">
        <v>158</v>
      </c>
      <c r="C1" s="10" t="s">
        <v>117</v>
      </c>
      <c r="D1" s="12" t="s">
        <v>1</v>
      </c>
      <c r="E1" s="12" t="s">
        <v>2</v>
      </c>
      <c r="F1" s="13" t="s">
        <v>137</v>
      </c>
      <c r="G1" s="14" t="s">
        <v>157</v>
      </c>
      <c r="H1" s="15" t="s">
        <v>118</v>
      </c>
      <c r="I1" s="15" t="s">
        <v>120</v>
      </c>
      <c r="J1" s="24" t="s">
        <v>184</v>
      </c>
      <c r="K1" s="25" t="s">
        <v>185</v>
      </c>
      <c r="L1" s="24" t="s">
        <v>171</v>
      </c>
      <c r="M1" s="52" t="s">
        <v>337</v>
      </c>
      <c r="N1" s="24" t="s">
        <v>189</v>
      </c>
      <c r="O1" s="31" t="s">
        <v>186</v>
      </c>
      <c r="P1" s="32" t="s">
        <v>185</v>
      </c>
      <c r="Q1" s="33" t="s">
        <v>171</v>
      </c>
      <c r="R1" s="33" t="s">
        <v>338</v>
      </c>
      <c r="S1" s="31" t="s">
        <v>188</v>
      </c>
      <c r="T1" s="26" t="s">
        <v>186</v>
      </c>
      <c r="U1" s="27" t="s">
        <v>185</v>
      </c>
      <c r="V1" s="28" t="s">
        <v>171</v>
      </c>
      <c r="W1" s="26" t="s">
        <v>248</v>
      </c>
      <c r="X1" s="36" t="s">
        <v>187</v>
      </c>
    </row>
    <row r="2" spans="1:24" x14ac:dyDescent="0.2">
      <c r="A2" s="3" t="s">
        <v>63</v>
      </c>
      <c r="B2" s="3" t="s">
        <v>159</v>
      </c>
      <c r="C2" s="3" t="s">
        <v>138</v>
      </c>
      <c r="D2" s="3" t="s">
        <v>64</v>
      </c>
      <c r="E2" s="4">
        <v>2.1</v>
      </c>
      <c r="F2" s="16">
        <v>7.0000000000000007E-2</v>
      </c>
      <c r="G2" s="16">
        <f>E2*F2</f>
        <v>0.14700000000000002</v>
      </c>
      <c r="H2" s="17" t="s">
        <v>205</v>
      </c>
      <c r="I2" s="17" t="s">
        <v>155</v>
      </c>
      <c r="J2" s="40" t="s">
        <v>200</v>
      </c>
      <c r="K2" s="40" t="s">
        <v>202</v>
      </c>
      <c r="L2" s="41" t="s">
        <v>204</v>
      </c>
      <c r="M2" s="53"/>
      <c r="N2" s="43">
        <v>1684</v>
      </c>
      <c r="O2" s="34" t="s">
        <v>316</v>
      </c>
      <c r="P2" s="34" t="s">
        <v>319</v>
      </c>
      <c r="Q2" s="34" t="s">
        <v>317</v>
      </c>
      <c r="R2" s="34"/>
      <c r="S2" s="34">
        <v>50</v>
      </c>
      <c r="T2" s="35"/>
      <c r="U2" s="35"/>
      <c r="V2" s="35"/>
      <c r="W2" s="35"/>
      <c r="X2" s="37">
        <f t="shared" ref="X2:X12" si="0">N2+S2+W2</f>
        <v>1734</v>
      </c>
    </row>
    <row r="3" spans="1:24" x14ac:dyDescent="0.2">
      <c r="A3" s="3" t="s">
        <v>65</v>
      </c>
      <c r="B3" s="3" t="s">
        <v>159</v>
      </c>
      <c r="C3" s="3" t="s">
        <v>139</v>
      </c>
      <c r="D3" s="3" t="s">
        <v>4</v>
      </c>
      <c r="E3" s="4">
        <v>0.11</v>
      </c>
      <c r="F3" s="16">
        <v>0.16800000000000001</v>
      </c>
      <c r="G3" s="16">
        <f t="shared" ref="G3:G53" si="1">E3*F3</f>
        <v>1.848E-2</v>
      </c>
      <c r="H3" s="17" t="s">
        <v>119</v>
      </c>
      <c r="I3" s="17" t="s">
        <v>156</v>
      </c>
      <c r="J3" s="40" t="s">
        <v>266</v>
      </c>
      <c r="K3" s="40" t="s">
        <v>220</v>
      </c>
      <c r="L3" s="29" t="s">
        <v>172</v>
      </c>
      <c r="M3" s="53"/>
      <c r="N3" s="43">
        <v>1721</v>
      </c>
      <c r="O3" s="34" t="s">
        <v>316</v>
      </c>
      <c r="P3" s="34" t="s">
        <v>319</v>
      </c>
      <c r="Q3" s="34" t="s">
        <v>317</v>
      </c>
      <c r="R3" s="34"/>
      <c r="S3" s="34">
        <v>50</v>
      </c>
      <c r="T3" s="35"/>
      <c r="U3" s="35"/>
      <c r="V3" s="35"/>
      <c r="W3" s="35"/>
      <c r="X3" s="37">
        <f t="shared" si="0"/>
        <v>1771</v>
      </c>
    </row>
    <row r="4" spans="1:24" x14ac:dyDescent="0.2">
      <c r="A4" s="3" t="s">
        <v>66</v>
      </c>
      <c r="B4" s="3" t="s">
        <v>160</v>
      </c>
      <c r="C4" s="3" t="s">
        <v>140</v>
      </c>
      <c r="D4" s="3" t="s">
        <v>5</v>
      </c>
      <c r="E4" s="4">
        <v>1.34</v>
      </c>
      <c r="F4" s="16">
        <v>7.0000000000000007E-2</v>
      </c>
      <c r="G4" s="16">
        <f t="shared" si="1"/>
        <v>9.3800000000000008E-2</v>
      </c>
      <c r="H4" s="17" t="s">
        <v>119</v>
      </c>
      <c r="I4" s="17" t="s">
        <v>121</v>
      </c>
      <c r="J4" s="40" t="s">
        <v>299</v>
      </c>
      <c r="K4" s="40" t="s">
        <v>301</v>
      </c>
      <c r="L4" s="41" t="s">
        <v>172</v>
      </c>
      <c r="M4" s="53" t="s">
        <v>331</v>
      </c>
      <c r="N4" s="43">
        <v>1619</v>
      </c>
      <c r="O4" s="34" t="s">
        <v>316</v>
      </c>
      <c r="P4" s="34" t="s">
        <v>319</v>
      </c>
      <c r="Q4" s="34" t="s">
        <v>317</v>
      </c>
      <c r="R4" s="34"/>
      <c r="S4" s="34">
        <v>50</v>
      </c>
      <c r="T4" s="35"/>
      <c r="U4" s="35"/>
      <c r="V4" s="35"/>
      <c r="W4" s="35"/>
      <c r="X4" s="37">
        <f t="shared" si="0"/>
        <v>1669</v>
      </c>
    </row>
    <row r="5" spans="1:24" x14ac:dyDescent="0.2">
      <c r="A5" s="3" t="s">
        <v>67</v>
      </c>
      <c r="B5" s="3" t="s">
        <v>160</v>
      </c>
      <c r="C5" s="3" t="s">
        <v>141</v>
      </c>
      <c r="D5" s="3" t="s">
        <v>7</v>
      </c>
      <c r="E5" s="4">
        <v>0.02</v>
      </c>
      <c r="F5" s="16">
        <v>0.26</v>
      </c>
      <c r="G5" s="16">
        <f t="shared" si="1"/>
        <v>5.2000000000000006E-3</v>
      </c>
      <c r="H5" s="17" t="s">
        <v>193</v>
      </c>
      <c r="I5" s="17" t="s">
        <v>206</v>
      </c>
      <c r="J5" s="40" t="s">
        <v>279</v>
      </c>
      <c r="K5" s="40" t="s">
        <v>280</v>
      </c>
      <c r="L5" s="41" t="s">
        <v>281</v>
      </c>
      <c r="M5" s="53" t="s">
        <v>328</v>
      </c>
      <c r="N5" s="29">
        <v>80</v>
      </c>
      <c r="O5" s="34" t="s">
        <v>282</v>
      </c>
      <c r="P5" s="34" t="s">
        <v>265</v>
      </c>
      <c r="Q5" s="30" t="s">
        <v>257</v>
      </c>
      <c r="R5" s="30"/>
      <c r="S5" s="34">
        <v>805</v>
      </c>
      <c r="T5" s="35" t="s">
        <v>318</v>
      </c>
      <c r="U5" s="35" t="s">
        <v>320</v>
      </c>
      <c r="V5" s="35" t="s">
        <v>321</v>
      </c>
      <c r="W5" s="35">
        <v>60</v>
      </c>
      <c r="X5" s="37">
        <f t="shared" si="0"/>
        <v>945</v>
      </c>
    </row>
    <row r="6" spans="1:24" x14ac:dyDescent="0.2">
      <c r="A6" s="3" t="s">
        <v>68</v>
      </c>
      <c r="B6" s="3" t="s">
        <v>160</v>
      </c>
      <c r="C6" s="3" t="s">
        <v>142</v>
      </c>
      <c r="D6" s="3" t="s">
        <v>69</v>
      </c>
      <c r="E6" s="4">
        <v>0.24</v>
      </c>
      <c r="F6" s="16">
        <v>0.2</v>
      </c>
      <c r="G6" s="16">
        <f t="shared" si="1"/>
        <v>4.8000000000000001E-2</v>
      </c>
      <c r="H6" s="17" t="s">
        <v>193</v>
      </c>
      <c r="I6" s="17" t="s">
        <v>207</v>
      </c>
      <c r="J6" s="40" t="s">
        <v>218</v>
      </c>
      <c r="K6" s="40" t="s">
        <v>249</v>
      </c>
      <c r="L6" s="40" t="s">
        <v>172</v>
      </c>
      <c r="M6" s="53" t="s">
        <v>328</v>
      </c>
      <c r="N6" s="29">
        <v>60</v>
      </c>
      <c r="O6" s="34" t="s">
        <v>225</v>
      </c>
      <c r="P6" s="34" t="s">
        <v>226</v>
      </c>
      <c r="Q6" s="34" t="s">
        <v>221</v>
      </c>
      <c r="R6" s="34"/>
      <c r="S6" s="34">
        <v>805</v>
      </c>
      <c r="T6" s="35" t="s">
        <v>318</v>
      </c>
      <c r="U6" s="35" t="s">
        <v>320</v>
      </c>
      <c r="V6" s="35" t="s">
        <v>321</v>
      </c>
      <c r="W6" s="35">
        <v>60</v>
      </c>
      <c r="X6" s="37">
        <f t="shared" si="0"/>
        <v>925</v>
      </c>
    </row>
    <row r="7" spans="1:24" x14ac:dyDescent="0.2">
      <c r="A7" s="3" t="s">
        <v>39</v>
      </c>
      <c r="B7" s="3" t="s">
        <v>160</v>
      </c>
      <c r="C7" s="3" t="s">
        <v>143</v>
      </c>
      <c r="D7" s="3" t="s">
        <v>6</v>
      </c>
      <c r="E7" s="4">
        <v>0.05</v>
      </c>
      <c r="F7" s="16">
        <v>0.23</v>
      </c>
      <c r="G7" s="16">
        <f t="shared" si="1"/>
        <v>1.1500000000000002E-2</v>
      </c>
      <c r="H7" s="17" t="s">
        <v>119</v>
      </c>
      <c r="I7" s="17" t="s">
        <v>121</v>
      </c>
      <c r="J7" s="40" t="s">
        <v>219</v>
      </c>
      <c r="K7" s="40" t="s">
        <v>230</v>
      </c>
      <c r="L7" s="41" t="s">
        <v>172</v>
      </c>
      <c r="M7" s="53" t="s">
        <v>332</v>
      </c>
      <c r="N7" s="43">
        <v>120</v>
      </c>
      <c r="O7" s="34" t="s">
        <v>297</v>
      </c>
      <c r="P7" s="34" t="s">
        <v>298</v>
      </c>
      <c r="Q7" s="30" t="s">
        <v>290</v>
      </c>
      <c r="R7" s="30"/>
      <c r="S7" s="34">
        <v>1619</v>
      </c>
      <c r="T7" s="35" t="s">
        <v>322</v>
      </c>
      <c r="U7" s="35" t="s">
        <v>320</v>
      </c>
      <c r="V7" s="35" t="s">
        <v>323</v>
      </c>
      <c r="W7" s="35">
        <v>50</v>
      </c>
      <c r="X7" s="37">
        <f t="shared" si="0"/>
        <v>1789</v>
      </c>
    </row>
    <row r="8" spans="1:24" x14ac:dyDescent="0.2">
      <c r="A8" s="3" t="s">
        <v>40</v>
      </c>
      <c r="B8" s="3" t="s">
        <v>160</v>
      </c>
      <c r="C8" s="3" t="s">
        <v>127</v>
      </c>
      <c r="D8" s="3" t="s">
        <v>8</v>
      </c>
      <c r="E8" s="4">
        <v>0.16</v>
      </c>
      <c r="F8" s="16">
        <v>7.0000000000000007E-2</v>
      </c>
      <c r="G8" s="16">
        <f t="shared" si="1"/>
        <v>1.1200000000000002E-2</v>
      </c>
      <c r="H8" s="17" t="s">
        <v>119</v>
      </c>
      <c r="I8" s="17" t="s">
        <v>121</v>
      </c>
      <c r="J8" s="40" t="s">
        <v>278</v>
      </c>
      <c r="K8" s="40" t="s">
        <v>300</v>
      </c>
      <c r="L8" s="41" t="s">
        <v>172</v>
      </c>
      <c r="M8" s="53" t="s">
        <v>332</v>
      </c>
      <c r="N8" s="43">
        <v>1619</v>
      </c>
      <c r="O8" s="34" t="s">
        <v>316</v>
      </c>
      <c r="P8" s="34" t="s">
        <v>319</v>
      </c>
      <c r="Q8" s="34" t="s">
        <v>317</v>
      </c>
      <c r="R8" s="34"/>
      <c r="S8" s="34">
        <v>50</v>
      </c>
      <c r="T8" s="35"/>
      <c r="U8" s="35"/>
      <c r="V8" s="35"/>
      <c r="W8" s="35"/>
      <c r="X8" s="37">
        <f t="shared" si="0"/>
        <v>1669</v>
      </c>
    </row>
    <row r="9" spans="1:24" x14ac:dyDescent="0.2">
      <c r="A9" s="3" t="s">
        <v>41</v>
      </c>
      <c r="B9" s="3" t="s">
        <v>160</v>
      </c>
      <c r="C9" s="3" t="s">
        <v>144</v>
      </c>
      <c r="D9" s="3" t="s">
        <v>5</v>
      </c>
      <c r="E9" s="4">
        <v>3.67</v>
      </c>
      <c r="F9" s="16">
        <v>7.6999999999999999E-2</v>
      </c>
      <c r="G9" s="16">
        <f t="shared" si="1"/>
        <v>0.28259000000000001</v>
      </c>
      <c r="H9" s="4" t="s">
        <v>192</v>
      </c>
      <c r="I9" s="4" t="s">
        <v>195</v>
      </c>
      <c r="J9" s="40" t="s">
        <v>200</v>
      </c>
      <c r="K9" s="40" t="s">
        <v>202</v>
      </c>
      <c r="L9" s="41" t="s">
        <v>204</v>
      </c>
      <c r="M9" s="53"/>
      <c r="N9" s="43">
        <v>1636</v>
      </c>
      <c r="O9" s="34" t="s">
        <v>316</v>
      </c>
      <c r="P9" s="34" t="s">
        <v>319</v>
      </c>
      <c r="Q9" s="34" t="s">
        <v>317</v>
      </c>
      <c r="R9" s="34"/>
      <c r="S9" s="34">
        <v>50</v>
      </c>
      <c r="T9" s="35"/>
      <c r="U9" s="35"/>
      <c r="V9" s="35"/>
      <c r="W9" s="35"/>
      <c r="X9" s="37">
        <f t="shared" si="0"/>
        <v>1686</v>
      </c>
    </row>
    <row r="10" spans="1:24" x14ac:dyDescent="0.2">
      <c r="A10" s="3" t="s">
        <v>9</v>
      </c>
      <c r="B10" s="3" t="s">
        <v>161</v>
      </c>
      <c r="C10" s="3" t="s">
        <v>145</v>
      </c>
      <c r="D10" s="3" t="s">
        <v>3</v>
      </c>
      <c r="E10" s="4">
        <v>0.44</v>
      </c>
      <c r="F10" s="16">
        <v>1</v>
      </c>
      <c r="G10" s="16">
        <f t="shared" si="1"/>
        <v>0.44</v>
      </c>
      <c r="H10" s="4" t="s">
        <v>205</v>
      </c>
      <c r="I10" s="4" t="s">
        <v>208</v>
      </c>
      <c r="J10" s="40" t="s">
        <v>235</v>
      </c>
      <c r="K10" s="40" t="s">
        <v>233</v>
      </c>
      <c r="L10" s="40" t="s">
        <v>236</v>
      </c>
      <c r="M10" s="53" t="s">
        <v>327</v>
      </c>
      <c r="N10" s="43">
        <v>1814</v>
      </c>
      <c r="O10" s="34"/>
      <c r="P10" s="34"/>
      <c r="Q10" s="34"/>
      <c r="R10" s="34"/>
      <c r="S10" s="34"/>
      <c r="T10" s="35"/>
      <c r="U10" s="35"/>
      <c r="V10" s="35"/>
      <c r="W10" s="35"/>
      <c r="X10" s="37">
        <f t="shared" si="0"/>
        <v>1814</v>
      </c>
    </row>
    <row r="11" spans="1:24" x14ac:dyDescent="0.2">
      <c r="A11" s="3" t="s">
        <v>70</v>
      </c>
      <c r="B11" s="3" t="s">
        <v>161</v>
      </c>
      <c r="C11" s="3" t="s">
        <v>146</v>
      </c>
      <c r="D11" s="3" t="s">
        <v>7</v>
      </c>
      <c r="E11" s="4">
        <v>0.06</v>
      </c>
      <c r="F11" s="16">
        <v>0.12</v>
      </c>
      <c r="G11" s="16">
        <f t="shared" si="1"/>
        <v>7.1999999999999998E-3</v>
      </c>
      <c r="H11" s="4" t="s">
        <v>192</v>
      </c>
      <c r="I11" s="4" t="s">
        <v>209</v>
      </c>
      <c r="J11" s="40" t="s">
        <v>275</v>
      </c>
      <c r="K11" s="40" t="s">
        <v>276</v>
      </c>
      <c r="L11" s="41" t="s">
        <v>277</v>
      </c>
      <c r="M11" s="53"/>
      <c r="N11" s="29">
        <v>250</v>
      </c>
      <c r="O11" s="34"/>
      <c r="P11" s="34"/>
      <c r="Q11" s="34"/>
      <c r="R11" s="34"/>
      <c r="S11" s="34"/>
      <c r="T11" s="35"/>
      <c r="U11" s="35"/>
      <c r="V11" s="35"/>
      <c r="W11" s="35"/>
      <c r="X11" s="37">
        <f t="shared" si="0"/>
        <v>250</v>
      </c>
    </row>
    <row r="12" spans="1:24" x14ac:dyDescent="0.2">
      <c r="A12" s="3" t="s">
        <v>42</v>
      </c>
      <c r="B12" s="3" t="s">
        <v>161</v>
      </c>
      <c r="C12" s="3" t="s">
        <v>147</v>
      </c>
      <c r="D12" s="3" t="s">
        <v>10</v>
      </c>
      <c r="E12" s="4">
        <v>0.16</v>
      </c>
      <c r="F12" s="16">
        <v>3.5000000000000003E-2</v>
      </c>
      <c r="G12" s="16">
        <f t="shared" si="1"/>
        <v>5.6000000000000008E-3</v>
      </c>
      <c r="H12" s="4" t="s">
        <v>192</v>
      </c>
      <c r="I12" s="4" t="s">
        <v>210</v>
      </c>
      <c r="J12" s="40" t="s">
        <v>200</v>
      </c>
      <c r="K12" s="40" t="s">
        <v>203</v>
      </c>
      <c r="L12" s="41" t="s">
        <v>204</v>
      </c>
      <c r="M12" s="53"/>
      <c r="N12" s="43">
        <v>1030</v>
      </c>
      <c r="O12" s="34"/>
      <c r="P12" s="34"/>
      <c r="Q12" s="34"/>
      <c r="R12" s="34"/>
      <c r="S12" s="34"/>
      <c r="T12" s="35"/>
      <c r="U12" s="35"/>
      <c r="V12" s="35"/>
      <c r="W12" s="35"/>
      <c r="X12" s="37">
        <f t="shared" si="0"/>
        <v>1030</v>
      </c>
    </row>
    <row r="13" spans="1:24" x14ac:dyDescent="0.2">
      <c r="A13" s="7" t="s">
        <v>60</v>
      </c>
      <c r="B13" s="7"/>
      <c r="C13" s="8" t="s">
        <v>3</v>
      </c>
      <c r="D13" s="8" t="s">
        <v>3</v>
      </c>
      <c r="E13" s="9"/>
      <c r="F13" s="18"/>
      <c r="G13" s="18"/>
      <c r="H13" s="19"/>
      <c r="I13" s="19"/>
      <c r="J13" s="19"/>
      <c r="K13" s="19"/>
      <c r="L13" s="19"/>
      <c r="M13" s="50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x14ac:dyDescent="0.2">
      <c r="A14" s="3" t="s">
        <v>71</v>
      </c>
      <c r="B14" s="3" t="s">
        <v>162</v>
      </c>
      <c r="C14" s="3" t="s">
        <v>148</v>
      </c>
      <c r="D14" s="3" t="s">
        <v>72</v>
      </c>
      <c r="E14" s="4">
        <v>0.04</v>
      </c>
      <c r="F14" s="16">
        <v>4.4999999999999998E-2</v>
      </c>
      <c r="G14" s="16">
        <f t="shared" si="1"/>
        <v>1.8E-3</v>
      </c>
      <c r="H14" s="17" t="s">
        <v>193</v>
      </c>
      <c r="I14" s="17" t="s">
        <v>211</v>
      </c>
      <c r="J14" s="40" t="s">
        <v>267</v>
      </c>
      <c r="K14" s="40" t="s">
        <v>268</v>
      </c>
      <c r="L14" s="41" t="s">
        <v>172</v>
      </c>
      <c r="M14" s="53" t="s">
        <v>328</v>
      </c>
      <c r="N14" s="29">
        <v>80</v>
      </c>
      <c r="O14" s="34" t="s">
        <v>269</v>
      </c>
      <c r="P14" s="34" t="s">
        <v>270</v>
      </c>
      <c r="Q14" s="30" t="s">
        <v>271</v>
      </c>
      <c r="R14" s="30"/>
      <c r="S14" s="34">
        <v>805</v>
      </c>
      <c r="T14" s="35" t="s">
        <v>318</v>
      </c>
      <c r="U14" s="35" t="s">
        <v>320</v>
      </c>
      <c r="V14" s="35" t="s">
        <v>321</v>
      </c>
      <c r="W14" s="35">
        <v>60</v>
      </c>
      <c r="X14" s="37">
        <f t="shared" ref="X14:X54" si="2">N14+S14+W14</f>
        <v>945</v>
      </c>
    </row>
    <row r="15" spans="1:24" x14ac:dyDescent="0.2">
      <c r="A15" s="3" t="s">
        <v>44</v>
      </c>
      <c r="B15" s="3" t="s">
        <v>163</v>
      </c>
      <c r="C15" s="3" t="s">
        <v>73</v>
      </c>
      <c r="D15" s="3" t="s">
        <v>74</v>
      </c>
      <c r="E15" s="4">
        <v>1</v>
      </c>
      <c r="F15" s="16">
        <v>3.3500000000000002E-2</v>
      </c>
      <c r="G15" s="16">
        <f t="shared" si="1"/>
        <v>3.3500000000000002E-2</v>
      </c>
      <c r="H15" s="17" t="s">
        <v>119</v>
      </c>
      <c r="I15" s="17" t="s">
        <v>122</v>
      </c>
      <c r="J15" s="42" t="s">
        <v>305</v>
      </c>
      <c r="K15" s="40" t="s">
        <v>306</v>
      </c>
      <c r="L15" s="41" t="s">
        <v>172</v>
      </c>
      <c r="M15" s="53" t="s">
        <v>333</v>
      </c>
      <c r="N15" s="29">
        <v>213</v>
      </c>
      <c r="O15" s="34" t="s">
        <v>316</v>
      </c>
      <c r="P15" s="34" t="s">
        <v>319</v>
      </c>
      <c r="Q15" s="34" t="s">
        <v>317</v>
      </c>
      <c r="R15" s="34"/>
      <c r="S15" s="34">
        <v>50</v>
      </c>
      <c r="T15" s="35"/>
      <c r="U15" s="35"/>
      <c r="V15" s="35"/>
      <c r="W15" s="35"/>
      <c r="X15" s="37">
        <f t="shared" si="2"/>
        <v>263</v>
      </c>
    </row>
    <row r="16" spans="1:24" x14ac:dyDescent="0.2">
      <c r="A16" s="3" t="s">
        <v>45</v>
      </c>
      <c r="B16" s="3" t="s">
        <v>163</v>
      </c>
      <c r="C16" s="3" t="s">
        <v>75</v>
      </c>
      <c r="D16" s="3" t="s">
        <v>74</v>
      </c>
      <c r="E16" s="4">
        <v>2</v>
      </c>
      <c r="F16" s="16">
        <v>1.66E-2</v>
      </c>
      <c r="G16" s="16">
        <f t="shared" si="1"/>
        <v>3.32E-2</v>
      </c>
      <c r="H16" s="17" t="s">
        <v>119</v>
      </c>
      <c r="I16" s="17" t="s">
        <v>122</v>
      </c>
      <c r="J16" s="29" t="s">
        <v>309</v>
      </c>
      <c r="K16" s="29" t="s">
        <v>310</v>
      </c>
      <c r="L16" s="29" t="s">
        <v>311</v>
      </c>
      <c r="M16" s="53" t="s">
        <v>326</v>
      </c>
      <c r="N16" s="29"/>
      <c r="O16" s="34" t="s">
        <v>312</v>
      </c>
      <c r="P16" s="34" t="s">
        <v>313</v>
      </c>
      <c r="Q16" s="34" t="s">
        <v>314</v>
      </c>
      <c r="R16" s="34"/>
      <c r="S16" s="34">
        <v>213</v>
      </c>
      <c r="T16" s="35" t="s">
        <v>315</v>
      </c>
      <c r="U16" s="35" t="s">
        <v>319</v>
      </c>
      <c r="V16" s="35" t="s">
        <v>323</v>
      </c>
      <c r="W16" s="35">
        <v>50</v>
      </c>
      <c r="X16" s="37">
        <f t="shared" si="2"/>
        <v>263</v>
      </c>
    </row>
    <row r="17" spans="1:24" x14ac:dyDescent="0.2">
      <c r="A17" s="3" t="s">
        <v>46</v>
      </c>
      <c r="B17" s="3" t="s">
        <v>163</v>
      </c>
      <c r="C17" s="3" t="s">
        <v>76</v>
      </c>
      <c r="D17" s="3" t="s">
        <v>74</v>
      </c>
      <c r="E17" s="4">
        <v>1</v>
      </c>
      <c r="F17" s="16">
        <v>7.0000000000000001E-3</v>
      </c>
      <c r="G17" s="16">
        <f t="shared" si="1"/>
        <v>7.0000000000000001E-3</v>
      </c>
      <c r="H17" s="17" t="s">
        <v>119</v>
      </c>
      <c r="I17" s="17" t="s">
        <v>212</v>
      </c>
      <c r="J17" s="42" t="s">
        <v>307</v>
      </c>
      <c r="K17" s="40" t="s">
        <v>308</v>
      </c>
      <c r="L17" s="41" t="s">
        <v>172</v>
      </c>
      <c r="M17" s="53" t="s">
        <v>333</v>
      </c>
      <c r="N17" s="29">
        <v>213</v>
      </c>
      <c r="O17" s="34" t="s">
        <v>316</v>
      </c>
      <c r="P17" s="34" t="s">
        <v>319</v>
      </c>
      <c r="Q17" s="34" t="s">
        <v>317</v>
      </c>
      <c r="R17" s="34"/>
      <c r="S17" s="34">
        <v>50</v>
      </c>
      <c r="T17" s="35"/>
      <c r="U17" s="35"/>
      <c r="V17" s="35"/>
      <c r="W17" s="35"/>
      <c r="X17" s="37">
        <f t="shared" si="2"/>
        <v>263</v>
      </c>
    </row>
    <row r="18" spans="1:24" x14ac:dyDescent="0.2">
      <c r="A18" s="3" t="s">
        <v>77</v>
      </c>
      <c r="B18" s="3" t="s">
        <v>164</v>
      </c>
      <c r="C18" s="3" t="s">
        <v>78</v>
      </c>
      <c r="D18" s="3" t="s">
        <v>79</v>
      </c>
      <c r="E18" s="4">
        <v>3</v>
      </c>
      <c r="F18" s="16">
        <v>5.0000000000000001E-3</v>
      </c>
      <c r="G18" s="16">
        <f t="shared" si="1"/>
        <v>1.4999999999999999E-2</v>
      </c>
      <c r="H18" s="17" t="s">
        <v>119</v>
      </c>
      <c r="I18" s="17" t="s">
        <v>123</v>
      </c>
      <c r="J18" s="29" t="s">
        <v>179</v>
      </c>
      <c r="K18" s="29" t="s">
        <v>180</v>
      </c>
      <c r="L18" s="29" t="s">
        <v>172</v>
      </c>
      <c r="M18" s="53"/>
      <c r="N18" s="29"/>
      <c r="O18" s="34" t="s">
        <v>180</v>
      </c>
      <c r="P18" s="34" t="s">
        <v>245</v>
      </c>
      <c r="Q18" s="34" t="s">
        <v>222</v>
      </c>
      <c r="R18" s="54" t="s">
        <v>335</v>
      </c>
      <c r="S18" s="48">
        <v>2200</v>
      </c>
      <c r="T18" s="35" t="s">
        <v>229</v>
      </c>
      <c r="U18" s="35" t="s">
        <v>227</v>
      </c>
      <c r="V18" s="35" t="s">
        <v>247</v>
      </c>
      <c r="W18" s="35">
        <v>805</v>
      </c>
      <c r="X18" s="37">
        <f t="shared" si="2"/>
        <v>3005</v>
      </c>
    </row>
    <row r="19" spans="1:24" x14ac:dyDescent="0.2">
      <c r="A19" s="3" t="s">
        <v>80</v>
      </c>
      <c r="B19" s="3" t="s">
        <v>164</v>
      </c>
      <c r="C19" s="3" t="s">
        <v>128</v>
      </c>
      <c r="D19" s="3" t="s">
        <v>11</v>
      </c>
      <c r="E19" s="4">
        <v>0.2</v>
      </c>
      <c r="F19" s="39">
        <v>3.0000000000000001E-3</v>
      </c>
      <c r="G19" s="16">
        <f t="shared" si="1"/>
        <v>6.0000000000000006E-4</v>
      </c>
      <c r="H19" s="17" t="s">
        <v>213</v>
      </c>
      <c r="I19" s="17" t="s">
        <v>196</v>
      </c>
      <c r="J19" s="40" t="s">
        <v>201</v>
      </c>
      <c r="K19" s="40" t="s">
        <v>250</v>
      </c>
      <c r="L19" s="40" t="s">
        <v>172</v>
      </c>
      <c r="M19" s="53" t="s">
        <v>328</v>
      </c>
      <c r="N19" s="29">
        <v>60</v>
      </c>
      <c r="O19" s="34" t="s">
        <v>251</v>
      </c>
      <c r="P19" s="34" t="s">
        <v>246</v>
      </c>
      <c r="Q19" s="34" t="s">
        <v>221</v>
      </c>
      <c r="R19" s="34"/>
      <c r="S19" s="34">
        <v>805</v>
      </c>
      <c r="T19" s="35" t="s">
        <v>318</v>
      </c>
      <c r="U19" s="35" t="s">
        <v>320</v>
      </c>
      <c r="V19" s="35" t="s">
        <v>321</v>
      </c>
      <c r="W19" s="35">
        <v>60</v>
      </c>
      <c r="X19" s="37">
        <f t="shared" si="2"/>
        <v>925</v>
      </c>
    </row>
    <row r="20" spans="1:24" x14ac:dyDescent="0.2">
      <c r="A20" s="3" t="s">
        <v>81</v>
      </c>
      <c r="B20" s="3" t="s">
        <v>164</v>
      </c>
      <c r="C20" s="3" t="s">
        <v>129</v>
      </c>
      <c r="D20" s="3" t="s">
        <v>12</v>
      </c>
      <c r="E20" s="4">
        <v>1.5</v>
      </c>
      <c r="F20" s="16">
        <v>1.6999999999999999E-3</v>
      </c>
      <c r="G20" s="16">
        <f t="shared" si="1"/>
        <v>2.5499999999999997E-3</v>
      </c>
      <c r="H20" s="17" t="s">
        <v>213</v>
      </c>
      <c r="I20" s="17" t="s">
        <v>211</v>
      </c>
      <c r="J20" s="40" t="s">
        <v>272</v>
      </c>
      <c r="K20" s="40" t="s">
        <v>259</v>
      </c>
      <c r="L20" s="41" t="s">
        <v>172</v>
      </c>
      <c r="M20" s="53" t="s">
        <v>328</v>
      </c>
      <c r="N20" s="29">
        <v>80</v>
      </c>
      <c r="O20" s="34" t="s">
        <v>273</v>
      </c>
      <c r="P20" s="34" t="s">
        <v>274</v>
      </c>
      <c r="Q20" s="30" t="s">
        <v>257</v>
      </c>
      <c r="R20" s="30"/>
      <c r="S20" s="34">
        <v>805</v>
      </c>
      <c r="T20" s="35" t="s">
        <v>318</v>
      </c>
      <c r="U20" s="35" t="s">
        <v>320</v>
      </c>
      <c r="V20" s="35" t="s">
        <v>321</v>
      </c>
      <c r="W20" s="35">
        <v>60</v>
      </c>
      <c r="X20" s="37">
        <f t="shared" si="2"/>
        <v>945</v>
      </c>
    </row>
    <row r="21" spans="1:24" x14ac:dyDescent="0.2">
      <c r="A21" s="3" t="s">
        <v>82</v>
      </c>
      <c r="B21" s="3" t="s">
        <v>165</v>
      </c>
      <c r="C21" s="3" t="s">
        <v>83</v>
      </c>
      <c r="D21" s="3" t="s">
        <v>12</v>
      </c>
      <c r="E21" s="4">
        <v>1</v>
      </c>
      <c r="F21" s="16">
        <v>2.5999999999999999E-3</v>
      </c>
      <c r="G21" s="16">
        <f t="shared" si="1"/>
        <v>2.5999999999999999E-3</v>
      </c>
      <c r="H21" s="20" t="s">
        <v>119</v>
      </c>
      <c r="I21" s="17" t="s">
        <v>123</v>
      </c>
      <c r="J21" s="29" t="s">
        <v>182</v>
      </c>
      <c r="K21" s="29" t="s">
        <v>180</v>
      </c>
      <c r="L21" s="29" t="s">
        <v>172</v>
      </c>
      <c r="M21" s="53"/>
      <c r="N21" s="29"/>
      <c r="O21" s="34" t="s">
        <v>180</v>
      </c>
      <c r="P21" s="34" t="s">
        <v>245</v>
      </c>
      <c r="Q21" s="34" t="s">
        <v>222</v>
      </c>
      <c r="R21" s="54" t="s">
        <v>328</v>
      </c>
      <c r="S21" s="48">
        <v>2200</v>
      </c>
      <c r="T21" s="35" t="s">
        <v>229</v>
      </c>
      <c r="U21" s="35" t="s">
        <v>227</v>
      </c>
      <c r="V21" s="35" t="s">
        <v>247</v>
      </c>
      <c r="W21" s="35">
        <v>805</v>
      </c>
      <c r="X21" s="37">
        <f t="shared" si="2"/>
        <v>3005</v>
      </c>
    </row>
    <row r="22" spans="1:24" x14ac:dyDescent="0.2">
      <c r="A22" s="3" t="s">
        <v>84</v>
      </c>
      <c r="B22" s="3" t="s">
        <v>165</v>
      </c>
      <c r="C22" s="3" t="s">
        <v>149</v>
      </c>
      <c r="D22" s="3" t="s">
        <v>85</v>
      </c>
      <c r="E22" s="4">
        <v>5</v>
      </c>
      <c r="F22" s="16">
        <v>5.7000000000000003E-5</v>
      </c>
      <c r="G22" s="16">
        <f t="shared" si="1"/>
        <v>2.8499999999999999E-4</v>
      </c>
      <c r="H22" s="20" t="s">
        <v>193</v>
      </c>
      <c r="I22" s="17" t="s">
        <v>197</v>
      </c>
      <c r="J22" s="40" t="s">
        <v>253</v>
      </c>
      <c r="K22" s="40" t="s">
        <v>225</v>
      </c>
      <c r="L22" s="40" t="s">
        <v>172</v>
      </c>
      <c r="M22" s="53" t="s">
        <v>328</v>
      </c>
      <c r="N22" s="29">
        <v>30</v>
      </c>
      <c r="O22" s="34" t="s">
        <v>254</v>
      </c>
      <c r="P22" s="34" t="s">
        <v>256</v>
      </c>
      <c r="Q22" s="34" t="s">
        <v>258</v>
      </c>
      <c r="R22" s="34"/>
      <c r="S22" s="34">
        <v>805</v>
      </c>
      <c r="T22" s="35" t="s">
        <v>318</v>
      </c>
      <c r="U22" s="35" t="s">
        <v>320</v>
      </c>
      <c r="V22" s="35" t="s">
        <v>321</v>
      </c>
      <c r="W22" s="35">
        <v>60</v>
      </c>
      <c r="X22" s="37">
        <f t="shared" si="2"/>
        <v>895</v>
      </c>
    </row>
    <row r="23" spans="1:24" x14ac:dyDescent="0.2">
      <c r="A23" s="3" t="s">
        <v>86</v>
      </c>
      <c r="B23" s="3" t="s">
        <v>165</v>
      </c>
      <c r="C23" s="3" t="s">
        <v>150</v>
      </c>
      <c r="D23" s="3" t="s">
        <v>87</v>
      </c>
      <c r="E23" s="4">
        <v>1</v>
      </c>
      <c r="F23" s="16">
        <v>5.7000000000000003E-5</v>
      </c>
      <c r="G23" s="16">
        <f t="shared" si="1"/>
        <v>5.7000000000000003E-5</v>
      </c>
      <c r="H23" s="20" t="s">
        <v>193</v>
      </c>
      <c r="I23" s="17" t="s">
        <v>197</v>
      </c>
      <c r="J23" s="40" t="s">
        <v>253</v>
      </c>
      <c r="K23" s="40" t="s">
        <v>225</v>
      </c>
      <c r="L23" s="40" t="s">
        <v>172</v>
      </c>
      <c r="M23" s="53" t="s">
        <v>328</v>
      </c>
      <c r="N23" s="29">
        <v>30</v>
      </c>
      <c r="O23" s="34" t="s">
        <v>254</v>
      </c>
      <c r="P23" s="34" t="s">
        <v>255</v>
      </c>
      <c r="Q23" s="34" t="s">
        <v>257</v>
      </c>
      <c r="R23" s="34"/>
      <c r="S23" s="34">
        <v>805</v>
      </c>
      <c r="T23" s="35" t="s">
        <v>318</v>
      </c>
      <c r="U23" s="35" t="s">
        <v>320</v>
      </c>
      <c r="V23" s="35" t="s">
        <v>321</v>
      </c>
      <c r="W23" s="35">
        <v>60</v>
      </c>
      <c r="X23" s="37">
        <f t="shared" si="2"/>
        <v>895</v>
      </c>
    </row>
    <row r="24" spans="1:24" x14ac:dyDescent="0.2">
      <c r="A24" s="3" t="s">
        <v>88</v>
      </c>
      <c r="B24" s="3" t="s">
        <v>165</v>
      </c>
      <c r="C24" s="3" t="s">
        <v>89</v>
      </c>
      <c r="D24" s="3" t="s">
        <v>12</v>
      </c>
      <c r="E24" s="4">
        <v>4</v>
      </c>
      <c r="F24" s="16">
        <v>3.0000000000000001E-3</v>
      </c>
      <c r="G24" s="16">
        <f t="shared" si="1"/>
        <v>1.2E-2</v>
      </c>
      <c r="H24" s="20" t="s">
        <v>119</v>
      </c>
      <c r="I24" s="17" t="s">
        <v>123</v>
      </c>
      <c r="J24" s="29" t="s">
        <v>182</v>
      </c>
      <c r="K24" s="29" t="s">
        <v>180</v>
      </c>
      <c r="L24" s="29" t="s">
        <v>172</v>
      </c>
      <c r="M24" s="53"/>
      <c r="N24" s="29"/>
      <c r="O24" s="34" t="s">
        <v>180</v>
      </c>
      <c r="P24" s="34" t="s">
        <v>245</v>
      </c>
      <c r="Q24" s="34" t="s">
        <v>222</v>
      </c>
      <c r="R24" s="54" t="s">
        <v>324</v>
      </c>
      <c r="S24" s="48">
        <v>2200</v>
      </c>
      <c r="T24" s="35" t="s">
        <v>229</v>
      </c>
      <c r="U24" s="35" t="s">
        <v>227</v>
      </c>
      <c r="V24" s="35" t="s">
        <v>247</v>
      </c>
      <c r="W24" s="35">
        <v>805</v>
      </c>
      <c r="X24" s="37">
        <f t="shared" si="2"/>
        <v>3005</v>
      </c>
    </row>
    <row r="25" spans="1:24" x14ac:dyDescent="0.2">
      <c r="A25" s="3" t="s">
        <v>90</v>
      </c>
      <c r="B25" s="3" t="s">
        <v>165</v>
      </c>
      <c r="C25" s="3" t="s">
        <v>151</v>
      </c>
      <c r="D25" s="3" t="s">
        <v>91</v>
      </c>
      <c r="E25" s="4">
        <v>8</v>
      </c>
      <c r="F25" s="16">
        <v>5.7000000000000003E-5</v>
      </c>
      <c r="G25" s="16">
        <f t="shared" si="1"/>
        <v>4.5600000000000003E-4</v>
      </c>
      <c r="H25" s="20" t="s">
        <v>193</v>
      </c>
      <c r="I25" s="17" t="s">
        <v>197</v>
      </c>
      <c r="J25" s="40" t="s">
        <v>253</v>
      </c>
      <c r="K25" s="40" t="s">
        <v>259</v>
      </c>
      <c r="L25" s="40" t="s">
        <v>172</v>
      </c>
      <c r="M25" s="53" t="s">
        <v>328</v>
      </c>
      <c r="N25" s="29">
        <v>30</v>
      </c>
      <c r="O25" s="34" t="s">
        <v>260</v>
      </c>
      <c r="P25" s="34" t="s">
        <v>261</v>
      </c>
      <c r="Q25" s="34" t="s">
        <v>262</v>
      </c>
      <c r="R25" s="34"/>
      <c r="S25" s="34">
        <v>805</v>
      </c>
      <c r="T25" s="35" t="s">
        <v>318</v>
      </c>
      <c r="U25" s="35" t="s">
        <v>320</v>
      </c>
      <c r="V25" s="35" t="s">
        <v>321</v>
      </c>
      <c r="W25" s="35">
        <v>60</v>
      </c>
      <c r="X25" s="37">
        <f t="shared" si="2"/>
        <v>895</v>
      </c>
    </row>
    <row r="26" spans="1:24" x14ac:dyDescent="0.2">
      <c r="A26" s="3" t="s">
        <v>43</v>
      </c>
      <c r="B26" s="3" t="s">
        <v>165</v>
      </c>
      <c r="C26" s="3" t="s">
        <v>13</v>
      </c>
      <c r="D26" s="3" t="s">
        <v>14</v>
      </c>
      <c r="E26" s="4">
        <v>2</v>
      </c>
      <c r="F26" s="39">
        <v>8.0000000000000004E-4</v>
      </c>
      <c r="G26" s="16">
        <f t="shared" si="1"/>
        <v>1.6000000000000001E-3</v>
      </c>
      <c r="H26" s="20" t="s">
        <v>243</v>
      </c>
      <c r="I26" s="17" t="s">
        <v>244</v>
      </c>
      <c r="J26" s="29" t="s">
        <v>181</v>
      </c>
      <c r="K26" s="29" t="s">
        <v>180</v>
      </c>
      <c r="L26" s="29" t="s">
        <v>124</v>
      </c>
      <c r="M26" s="53"/>
      <c r="N26" s="29"/>
      <c r="O26" s="34" t="s">
        <v>180</v>
      </c>
      <c r="P26" s="34" t="s">
        <v>245</v>
      </c>
      <c r="Q26" s="34" t="s">
        <v>222</v>
      </c>
      <c r="R26" s="54" t="s">
        <v>328</v>
      </c>
      <c r="S26" s="48">
        <v>2200</v>
      </c>
      <c r="T26" s="35" t="s">
        <v>229</v>
      </c>
      <c r="U26" s="35" t="s">
        <v>227</v>
      </c>
      <c r="V26" s="35" t="s">
        <v>247</v>
      </c>
      <c r="W26" s="35">
        <v>805</v>
      </c>
      <c r="X26" s="37">
        <f t="shared" si="2"/>
        <v>3005</v>
      </c>
    </row>
    <row r="27" spans="1:24" x14ac:dyDescent="0.2">
      <c r="A27" s="3" t="s">
        <v>92</v>
      </c>
      <c r="B27" s="3" t="s">
        <v>164</v>
      </c>
      <c r="C27" s="3" t="s">
        <v>93</v>
      </c>
      <c r="D27" s="3" t="s">
        <v>3</v>
      </c>
      <c r="E27" s="4">
        <v>2</v>
      </c>
      <c r="F27" s="16">
        <v>8.0000000000000004E-4</v>
      </c>
      <c r="G27" s="16">
        <f t="shared" si="1"/>
        <v>1.6000000000000001E-3</v>
      </c>
      <c r="H27" s="20" t="s">
        <v>119</v>
      </c>
      <c r="I27" s="17" t="s">
        <v>123</v>
      </c>
      <c r="J27" s="29" t="s">
        <v>182</v>
      </c>
      <c r="K27" s="29" t="s">
        <v>180</v>
      </c>
      <c r="L27" s="44" t="s">
        <v>172</v>
      </c>
      <c r="M27" s="53"/>
      <c r="N27" s="29"/>
      <c r="O27" s="34" t="s">
        <v>180</v>
      </c>
      <c r="P27" s="34" t="s">
        <v>245</v>
      </c>
      <c r="Q27" s="34" t="s">
        <v>222</v>
      </c>
      <c r="R27" s="54" t="s">
        <v>328</v>
      </c>
      <c r="S27" s="48">
        <v>2200</v>
      </c>
      <c r="T27" s="35" t="s">
        <v>229</v>
      </c>
      <c r="U27" s="35" t="s">
        <v>227</v>
      </c>
      <c r="V27" s="35" t="s">
        <v>247</v>
      </c>
      <c r="W27" s="35">
        <v>805</v>
      </c>
      <c r="X27" s="37">
        <f t="shared" si="2"/>
        <v>3005</v>
      </c>
    </row>
    <row r="28" spans="1:24" x14ac:dyDescent="0.2">
      <c r="A28" s="3" t="s">
        <v>94</v>
      </c>
      <c r="B28" s="3" t="s">
        <v>164</v>
      </c>
      <c r="C28" s="3" t="s">
        <v>95</v>
      </c>
      <c r="D28" s="3" t="s">
        <v>3</v>
      </c>
      <c r="E28" s="4">
        <v>2</v>
      </c>
      <c r="F28" s="16">
        <v>6.9999999999999994E-5</v>
      </c>
      <c r="G28" s="16">
        <f t="shared" si="1"/>
        <v>1.3999999999999999E-4</v>
      </c>
      <c r="H28" s="20" t="s">
        <v>119</v>
      </c>
      <c r="I28" s="17" t="s">
        <v>123</v>
      </c>
      <c r="J28" s="29" t="s">
        <v>182</v>
      </c>
      <c r="K28" s="29" t="s">
        <v>180</v>
      </c>
      <c r="L28" s="44" t="s">
        <v>172</v>
      </c>
      <c r="M28" s="53"/>
      <c r="N28" s="29"/>
      <c r="O28" s="34" t="s">
        <v>180</v>
      </c>
      <c r="P28" s="34" t="s">
        <v>245</v>
      </c>
      <c r="Q28" s="34" t="s">
        <v>222</v>
      </c>
      <c r="R28" s="54" t="s">
        <v>328</v>
      </c>
      <c r="S28" s="48">
        <v>2200</v>
      </c>
      <c r="T28" s="35" t="s">
        <v>229</v>
      </c>
      <c r="U28" s="35" t="s">
        <v>227</v>
      </c>
      <c r="V28" s="35" t="s">
        <v>247</v>
      </c>
      <c r="W28" s="35">
        <v>805</v>
      </c>
      <c r="X28" s="37">
        <f t="shared" si="2"/>
        <v>3005</v>
      </c>
    </row>
    <row r="29" spans="1:24" x14ac:dyDescent="0.2">
      <c r="A29" s="3" t="s">
        <v>96</v>
      </c>
      <c r="B29" s="3" t="s">
        <v>164</v>
      </c>
      <c r="C29" s="3" t="s">
        <v>152</v>
      </c>
      <c r="D29" s="3" t="s">
        <v>97</v>
      </c>
      <c r="E29" s="4">
        <v>2</v>
      </c>
      <c r="F29" s="16">
        <v>1.16E-3</v>
      </c>
      <c r="G29" s="16">
        <f t="shared" si="1"/>
        <v>2.32E-3</v>
      </c>
      <c r="H29" s="17" t="s">
        <v>193</v>
      </c>
      <c r="I29" s="17" t="s">
        <v>214</v>
      </c>
      <c r="J29" s="40" t="s">
        <v>263</v>
      </c>
      <c r="K29" s="40" t="s">
        <v>259</v>
      </c>
      <c r="L29" s="40" t="s">
        <v>172</v>
      </c>
      <c r="M29" s="53" t="s">
        <v>328</v>
      </c>
      <c r="N29" s="29">
        <v>30</v>
      </c>
      <c r="O29" s="34" t="s">
        <v>260</v>
      </c>
      <c r="P29" s="34" t="s">
        <v>255</v>
      </c>
      <c r="Q29" s="34" t="s">
        <v>264</v>
      </c>
      <c r="R29" s="34"/>
      <c r="S29" s="34">
        <v>805</v>
      </c>
      <c r="T29" s="35" t="s">
        <v>318</v>
      </c>
      <c r="U29" s="35" t="s">
        <v>320</v>
      </c>
      <c r="V29" s="35" t="s">
        <v>321</v>
      </c>
      <c r="W29" s="35">
        <v>60</v>
      </c>
      <c r="X29" s="37">
        <f t="shared" si="2"/>
        <v>895</v>
      </c>
    </row>
    <row r="30" spans="1:24" x14ac:dyDescent="0.2">
      <c r="A30" s="3" t="s">
        <v>47</v>
      </c>
      <c r="B30" s="3" t="s">
        <v>164</v>
      </c>
      <c r="C30" s="3" t="s">
        <v>130</v>
      </c>
      <c r="D30" s="3" t="s">
        <v>3</v>
      </c>
      <c r="E30" s="4">
        <v>2</v>
      </c>
      <c r="F30" s="39">
        <v>8.8999999999999995E-5</v>
      </c>
      <c r="G30" s="16">
        <f t="shared" si="1"/>
        <v>1.7799999999999999E-4</v>
      </c>
      <c r="H30" s="17" t="s">
        <v>193</v>
      </c>
      <c r="I30" s="17" t="s">
        <v>197</v>
      </c>
      <c r="J30" s="40" t="s">
        <v>263</v>
      </c>
      <c r="K30" s="40" t="s">
        <v>259</v>
      </c>
      <c r="L30" s="40" t="s">
        <v>172</v>
      </c>
      <c r="M30" s="53" t="s">
        <v>328</v>
      </c>
      <c r="N30" s="29">
        <v>30</v>
      </c>
      <c r="O30" s="34" t="s">
        <v>254</v>
      </c>
      <c r="P30" s="34" t="s">
        <v>265</v>
      </c>
      <c r="Q30" s="34" t="s">
        <v>257</v>
      </c>
      <c r="R30" s="34"/>
      <c r="S30" s="34">
        <v>805</v>
      </c>
      <c r="T30" s="35" t="s">
        <v>318</v>
      </c>
      <c r="U30" s="35" t="s">
        <v>320</v>
      </c>
      <c r="V30" s="35" t="s">
        <v>321</v>
      </c>
      <c r="W30" s="35">
        <v>60</v>
      </c>
      <c r="X30" s="37">
        <f t="shared" si="2"/>
        <v>895</v>
      </c>
    </row>
    <row r="31" spans="1:24" x14ac:dyDescent="0.2">
      <c r="A31" s="3" t="s">
        <v>98</v>
      </c>
      <c r="B31" s="3" t="s">
        <v>164</v>
      </c>
      <c r="C31" s="3" t="s">
        <v>153</v>
      </c>
      <c r="D31" s="3" t="s">
        <v>15</v>
      </c>
      <c r="E31" s="4">
        <v>0.23</v>
      </c>
      <c r="F31" s="16">
        <v>5.0000000000000001E-3</v>
      </c>
      <c r="G31" s="16">
        <f t="shared" si="1"/>
        <v>1.15E-3</v>
      </c>
      <c r="H31" s="17" t="s">
        <v>193</v>
      </c>
      <c r="I31" s="17" t="s">
        <v>196</v>
      </c>
      <c r="J31" s="40" t="s">
        <v>252</v>
      </c>
      <c r="K31" s="40" t="s">
        <v>250</v>
      </c>
      <c r="L31" s="40" t="s">
        <v>172</v>
      </c>
      <c r="M31" s="53" t="s">
        <v>328</v>
      </c>
      <c r="N31" s="29">
        <v>60</v>
      </c>
      <c r="O31" s="34" t="s">
        <v>251</v>
      </c>
      <c r="P31" s="34" t="s">
        <v>246</v>
      </c>
      <c r="Q31" s="34" t="s">
        <v>221</v>
      </c>
      <c r="R31" s="34"/>
      <c r="S31" s="34">
        <v>805</v>
      </c>
      <c r="T31" s="35" t="s">
        <v>318</v>
      </c>
      <c r="U31" s="35" t="s">
        <v>320</v>
      </c>
      <c r="V31" s="35" t="s">
        <v>321</v>
      </c>
      <c r="W31" s="35">
        <v>60</v>
      </c>
      <c r="X31" s="37">
        <f t="shared" si="2"/>
        <v>925</v>
      </c>
    </row>
    <row r="32" spans="1:24" x14ac:dyDescent="0.2">
      <c r="A32" s="3" t="s">
        <v>48</v>
      </c>
      <c r="B32" s="3" t="s">
        <v>164</v>
      </c>
      <c r="C32" s="3" t="s">
        <v>131</v>
      </c>
      <c r="D32" s="3" t="s">
        <v>16</v>
      </c>
      <c r="E32" s="4">
        <v>0.96</v>
      </c>
      <c r="F32" s="16">
        <v>1.4999999999999999E-2</v>
      </c>
      <c r="G32" s="16">
        <f t="shared" si="1"/>
        <v>1.44E-2</v>
      </c>
      <c r="H32" s="17" t="s">
        <v>193</v>
      </c>
      <c r="I32" s="17" t="s">
        <v>196</v>
      </c>
      <c r="J32" s="40" t="s">
        <v>252</v>
      </c>
      <c r="K32" s="40" t="s">
        <v>250</v>
      </c>
      <c r="L32" s="40" t="s">
        <v>172</v>
      </c>
      <c r="M32" s="53" t="s">
        <v>328</v>
      </c>
      <c r="N32" s="29">
        <v>60</v>
      </c>
      <c r="O32" s="34" t="s">
        <v>251</v>
      </c>
      <c r="P32" s="34" t="s">
        <v>246</v>
      </c>
      <c r="Q32" s="34" t="s">
        <v>221</v>
      </c>
      <c r="R32" s="34"/>
      <c r="S32" s="34">
        <v>805</v>
      </c>
      <c r="T32" s="35" t="s">
        <v>318</v>
      </c>
      <c r="U32" s="35" t="s">
        <v>320</v>
      </c>
      <c r="V32" s="35" t="s">
        <v>321</v>
      </c>
      <c r="W32" s="35">
        <v>60</v>
      </c>
      <c r="X32" s="37">
        <f t="shared" si="2"/>
        <v>925</v>
      </c>
    </row>
    <row r="33" spans="1:24" x14ac:dyDescent="0.2">
      <c r="A33" s="3" t="s">
        <v>99</v>
      </c>
      <c r="B33" s="3" t="s">
        <v>164</v>
      </c>
      <c r="C33" s="3" t="s">
        <v>154</v>
      </c>
      <c r="D33" s="3" t="s">
        <v>14</v>
      </c>
      <c r="E33" s="4">
        <v>0.6</v>
      </c>
      <c r="F33" s="16">
        <v>5.0000000000000001E-3</v>
      </c>
      <c r="G33" s="16">
        <f t="shared" si="1"/>
        <v>3.0000000000000001E-3</v>
      </c>
      <c r="H33" s="17" t="s">
        <v>193</v>
      </c>
      <c r="I33" s="17" t="s">
        <v>215</v>
      </c>
      <c r="J33" s="40" t="s">
        <v>252</v>
      </c>
      <c r="K33" s="40" t="s">
        <v>250</v>
      </c>
      <c r="L33" s="40" t="s">
        <v>172</v>
      </c>
      <c r="M33" s="53" t="s">
        <v>328</v>
      </c>
      <c r="N33" s="29">
        <v>60</v>
      </c>
      <c r="O33" s="34" t="s">
        <v>251</v>
      </c>
      <c r="P33" s="34" t="s">
        <v>246</v>
      </c>
      <c r="Q33" s="34" t="s">
        <v>221</v>
      </c>
      <c r="R33" s="34"/>
      <c r="S33" s="34">
        <v>805</v>
      </c>
      <c r="T33" s="35" t="s">
        <v>318</v>
      </c>
      <c r="U33" s="35" t="s">
        <v>320</v>
      </c>
      <c r="V33" s="35" t="s">
        <v>321</v>
      </c>
      <c r="W33" s="35">
        <v>60</v>
      </c>
      <c r="X33" s="37">
        <f t="shared" si="2"/>
        <v>925</v>
      </c>
    </row>
    <row r="34" spans="1:24" x14ac:dyDescent="0.2">
      <c r="A34" s="3" t="s">
        <v>49</v>
      </c>
      <c r="B34" s="3" t="s">
        <v>164</v>
      </c>
      <c r="C34" s="3" t="s">
        <v>17</v>
      </c>
      <c r="D34" s="3" t="s">
        <v>18</v>
      </c>
      <c r="E34" s="4">
        <v>1.1599999999999999</v>
      </c>
      <c r="F34" s="16">
        <v>6.0000000000000001E-3</v>
      </c>
      <c r="G34" s="16">
        <f t="shared" si="1"/>
        <v>6.96E-3</v>
      </c>
      <c r="H34" s="20" t="s">
        <v>119</v>
      </c>
      <c r="I34" s="17" t="s">
        <v>125</v>
      </c>
      <c r="J34" s="29"/>
      <c r="K34" s="29"/>
      <c r="L34" s="44" t="s">
        <v>172</v>
      </c>
      <c r="M34" s="53"/>
      <c r="N34" s="29"/>
      <c r="O34" s="34" t="s">
        <v>302</v>
      </c>
      <c r="P34" s="34" t="s">
        <v>286</v>
      </c>
      <c r="Q34" s="30" t="s">
        <v>303</v>
      </c>
      <c r="R34" s="54" t="s">
        <v>328</v>
      </c>
      <c r="S34" s="48">
        <v>2200</v>
      </c>
      <c r="T34" s="35" t="s">
        <v>269</v>
      </c>
      <c r="U34" s="35" t="s">
        <v>304</v>
      </c>
      <c r="V34" s="35" t="s">
        <v>303</v>
      </c>
      <c r="W34" s="35">
        <v>805</v>
      </c>
      <c r="X34" s="37">
        <f t="shared" si="2"/>
        <v>3005</v>
      </c>
    </row>
    <row r="35" spans="1:24" x14ac:dyDescent="0.2">
      <c r="A35" s="3" t="s">
        <v>100</v>
      </c>
      <c r="B35" s="3" t="s">
        <v>166</v>
      </c>
      <c r="C35" s="3" t="s">
        <v>101</v>
      </c>
      <c r="D35" s="3" t="s">
        <v>23</v>
      </c>
      <c r="E35" s="4">
        <v>1</v>
      </c>
      <c r="F35" s="16">
        <v>1E-3</v>
      </c>
      <c r="G35" s="16">
        <f t="shared" si="1"/>
        <v>1E-3</v>
      </c>
      <c r="H35" s="20" t="s">
        <v>119</v>
      </c>
      <c r="I35" s="17" t="s">
        <v>126</v>
      </c>
      <c r="J35" s="40"/>
      <c r="K35" s="40"/>
      <c r="L35" s="41" t="s">
        <v>283</v>
      </c>
      <c r="M35" s="53"/>
      <c r="N35" s="29"/>
      <c r="O35" s="34" t="s">
        <v>285</v>
      </c>
      <c r="P35" s="34" t="s">
        <v>287</v>
      </c>
      <c r="Q35" s="30" t="s">
        <v>257</v>
      </c>
      <c r="R35" s="54" t="s">
        <v>324</v>
      </c>
      <c r="S35" s="48">
        <v>2200</v>
      </c>
      <c r="T35" s="35" t="s">
        <v>288</v>
      </c>
      <c r="U35" s="35" t="s">
        <v>289</v>
      </c>
      <c r="V35" s="35" t="s">
        <v>257</v>
      </c>
      <c r="W35" s="35">
        <v>805</v>
      </c>
      <c r="X35" s="37">
        <f t="shared" si="2"/>
        <v>3005</v>
      </c>
    </row>
    <row r="36" spans="1:24" x14ac:dyDescent="0.2">
      <c r="A36" s="3" t="s">
        <v>50</v>
      </c>
      <c r="B36" s="3" t="s">
        <v>166</v>
      </c>
      <c r="C36" s="3" t="s">
        <v>19</v>
      </c>
      <c r="D36" s="3" t="s">
        <v>20</v>
      </c>
      <c r="E36" s="4">
        <v>1</v>
      </c>
      <c r="F36" s="39">
        <v>2.5000000000000001E-3</v>
      </c>
      <c r="G36" s="16">
        <f t="shared" si="1"/>
        <v>2.5000000000000001E-3</v>
      </c>
      <c r="H36" s="20" t="s">
        <v>119</v>
      </c>
      <c r="I36" s="17" t="s">
        <v>123</v>
      </c>
      <c r="J36" s="29" t="s">
        <v>183</v>
      </c>
      <c r="K36" s="29" t="s">
        <v>180</v>
      </c>
      <c r="L36" s="44" t="s">
        <v>172</v>
      </c>
      <c r="M36" s="53"/>
      <c r="N36" s="29"/>
      <c r="O36" s="34" t="s">
        <v>180</v>
      </c>
      <c r="P36" s="34" t="s">
        <v>245</v>
      </c>
      <c r="Q36" s="34" t="s">
        <v>222</v>
      </c>
      <c r="R36" s="54" t="s">
        <v>328</v>
      </c>
      <c r="S36" s="48">
        <v>2200</v>
      </c>
      <c r="T36" s="35" t="s">
        <v>229</v>
      </c>
      <c r="U36" s="35" t="s">
        <v>227</v>
      </c>
      <c r="V36" s="35" t="s">
        <v>247</v>
      </c>
      <c r="W36" s="35">
        <v>805</v>
      </c>
      <c r="X36" s="37">
        <f t="shared" si="2"/>
        <v>3005</v>
      </c>
    </row>
    <row r="37" spans="1:24" x14ac:dyDescent="0.2">
      <c r="A37" s="3" t="s">
        <v>51</v>
      </c>
      <c r="B37" s="3" t="s">
        <v>166</v>
      </c>
      <c r="C37" s="3" t="s">
        <v>21</v>
      </c>
      <c r="D37" s="3" t="s">
        <v>22</v>
      </c>
      <c r="E37" s="4">
        <v>1</v>
      </c>
      <c r="F37" s="39">
        <v>4.0000000000000003E-5</v>
      </c>
      <c r="G37" s="16">
        <f t="shared" si="1"/>
        <v>4.0000000000000003E-5</v>
      </c>
      <c r="H37" s="20" t="s">
        <v>119</v>
      </c>
      <c r="I37" s="17" t="s">
        <v>123</v>
      </c>
      <c r="J37" s="29" t="s">
        <v>183</v>
      </c>
      <c r="K37" s="29" t="s">
        <v>180</v>
      </c>
      <c r="L37" s="44" t="s">
        <v>172</v>
      </c>
      <c r="M37" s="53"/>
      <c r="N37" s="29"/>
      <c r="O37" s="34" t="s">
        <v>180</v>
      </c>
      <c r="P37" s="34" t="s">
        <v>245</v>
      </c>
      <c r="Q37" s="34" t="s">
        <v>222</v>
      </c>
      <c r="R37" s="54" t="s">
        <v>328</v>
      </c>
      <c r="S37" s="48">
        <v>2200</v>
      </c>
      <c r="T37" s="35" t="s">
        <v>229</v>
      </c>
      <c r="U37" s="35" t="s">
        <v>227</v>
      </c>
      <c r="V37" s="35" t="s">
        <v>247</v>
      </c>
      <c r="W37" s="35">
        <v>805</v>
      </c>
      <c r="X37" s="37">
        <f t="shared" si="2"/>
        <v>3005</v>
      </c>
    </row>
    <row r="38" spans="1:24" x14ac:dyDescent="0.2">
      <c r="A38" s="3" t="s">
        <v>102</v>
      </c>
      <c r="B38" s="3" t="s">
        <v>166</v>
      </c>
      <c r="C38" s="3" t="s">
        <v>103</v>
      </c>
      <c r="D38" s="3" t="s">
        <v>104</v>
      </c>
      <c r="E38" s="4">
        <v>1</v>
      </c>
      <c r="F38" s="16">
        <v>1E-3</v>
      </c>
      <c r="G38" s="16">
        <f t="shared" si="1"/>
        <v>1E-3</v>
      </c>
      <c r="H38" s="20" t="s">
        <v>119</v>
      </c>
      <c r="I38" s="17" t="s">
        <v>126</v>
      </c>
      <c r="J38" s="40"/>
      <c r="K38" s="40"/>
      <c r="L38" s="41" t="s">
        <v>290</v>
      </c>
      <c r="M38" s="53"/>
      <c r="N38" s="29"/>
      <c r="O38" s="34" t="s">
        <v>284</v>
      </c>
      <c r="P38" s="34" t="s">
        <v>254</v>
      </c>
      <c r="Q38" s="30" t="s">
        <v>264</v>
      </c>
      <c r="R38" s="54" t="s">
        <v>328</v>
      </c>
      <c r="S38" s="48">
        <v>2200</v>
      </c>
      <c r="T38" s="35" t="s">
        <v>254</v>
      </c>
      <c r="U38" s="35" t="s">
        <v>255</v>
      </c>
      <c r="V38" s="35" t="s">
        <v>291</v>
      </c>
      <c r="W38" s="35">
        <v>805</v>
      </c>
      <c r="X38" s="37">
        <f t="shared" si="2"/>
        <v>3005</v>
      </c>
    </row>
    <row r="39" spans="1:24" x14ac:dyDescent="0.2">
      <c r="A39" s="3" t="s">
        <v>105</v>
      </c>
      <c r="B39" s="3" t="s">
        <v>166</v>
      </c>
      <c r="C39" s="3" t="s">
        <v>106</v>
      </c>
      <c r="D39" s="3" t="s">
        <v>24</v>
      </c>
      <c r="E39" s="4">
        <v>1</v>
      </c>
      <c r="F39" s="16">
        <v>1E-3</v>
      </c>
      <c r="G39" s="16">
        <f t="shared" si="1"/>
        <v>1E-3</v>
      </c>
      <c r="H39" s="20" t="s">
        <v>119</v>
      </c>
      <c r="I39" s="17" t="s">
        <v>126</v>
      </c>
      <c r="J39" s="40"/>
      <c r="K39" s="40"/>
      <c r="L39" s="41" t="s">
        <v>290</v>
      </c>
      <c r="M39" s="53"/>
      <c r="N39" s="29"/>
      <c r="O39" s="34" t="s">
        <v>292</v>
      </c>
      <c r="P39" s="34" t="s">
        <v>254</v>
      </c>
      <c r="Q39" s="30" t="s">
        <v>291</v>
      </c>
      <c r="R39" s="54" t="s">
        <v>328</v>
      </c>
      <c r="S39" s="48">
        <v>2200</v>
      </c>
      <c r="T39" s="35" t="s">
        <v>254</v>
      </c>
      <c r="U39" s="35" t="s">
        <v>270</v>
      </c>
      <c r="V39" s="35" t="s">
        <v>264</v>
      </c>
      <c r="W39" s="35">
        <v>805</v>
      </c>
      <c r="X39" s="37">
        <f t="shared" si="2"/>
        <v>3005</v>
      </c>
    </row>
    <row r="40" spans="1:24" x14ac:dyDescent="0.2">
      <c r="A40" s="3" t="s">
        <v>52</v>
      </c>
      <c r="B40" s="3" t="s">
        <v>166</v>
      </c>
      <c r="C40" s="3" t="s">
        <v>107</v>
      </c>
      <c r="D40" s="3" t="s">
        <v>25</v>
      </c>
      <c r="E40" s="4">
        <v>1</v>
      </c>
      <c r="F40" s="16">
        <v>1E-3</v>
      </c>
      <c r="G40" s="16">
        <f t="shared" si="1"/>
        <v>1E-3</v>
      </c>
      <c r="H40" s="20" t="s">
        <v>119</v>
      </c>
      <c r="I40" s="17" t="s">
        <v>126</v>
      </c>
      <c r="J40" s="40"/>
      <c r="K40" s="40"/>
      <c r="L40" s="41" t="s">
        <v>293</v>
      </c>
      <c r="M40" s="53"/>
      <c r="N40" s="29"/>
      <c r="O40" s="34" t="s">
        <v>284</v>
      </c>
      <c r="P40" s="34" t="s">
        <v>254</v>
      </c>
      <c r="Q40" s="30" t="s">
        <v>291</v>
      </c>
      <c r="R40" s="54" t="s">
        <v>328</v>
      </c>
      <c r="S40" s="48">
        <v>2200</v>
      </c>
      <c r="T40" s="35" t="s">
        <v>254</v>
      </c>
      <c r="U40" s="35" t="s">
        <v>270</v>
      </c>
      <c r="V40" s="35" t="s">
        <v>257</v>
      </c>
      <c r="W40" s="35">
        <v>805</v>
      </c>
      <c r="X40" s="37">
        <f t="shared" si="2"/>
        <v>3005</v>
      </c>
    </row>
    <row r="41" spans="1:24" x14ac:dyDescent="0.2">
      <c r="A41" s="3" t="s">
        <v>108</v>
      </c>
      <c r="B41" s="3" t="s">
        <v>166</v>
      </c>
      <c r="C41" s="3" t="s">
        <v>26</v>
      </c>
      <c r="D41" s="3" t="s">
        <v>3</v>
      </c>
      <c r="E41" s="4">
        <v>1</v>
      </c>
      <c r="F41" s="16">
        <v>1E-3</v>
      </c>
      <c r="G41" s="16">
        <f t="shared" si="1"/>
        <v>1E-3</v>
      </c>
      <c r="H41" s="4" t="s">
        <v>192</v>
      </c>
      <c r="I41" s="4" t="s">
        <v>194</v>
      </c>
      <c r="J41" s="40" t="s">
        <v>237</v>
      </c>
      <c r="K41" s="40" t="s">
        <v>238</v>
      </c>
      <c r="L41" s="40" t="s">
        <v>239</v>
      </c>
      <c r="M41" s="53" t="s">
        <v>334</v>
      </c>
      <c r="N41" s="43">
        <v>1814</v>
      </c>
      <c r="O41" s="34"/>
      <c r="P41" s="34"/>
      <c r="Q41" s="34"/>
      <c r="R41" s="34"/>
      <c r="S41" s="34"/>
      <c r="T41" s="35"/>
      <c r="U41" s="35"/>
      <c r="V41" s="35"/>
      <c r="W41" s="35"/>
      <c r="X41" s="37">
        <f t="shared" si="2"/>
        <v>1814</v>
      </c>
    </row>
    <row r="42" spans="1:24" x14ac:dyDescent="0.2">
      <c r="A42" s="3" t="s">
        <v>53</v>
      </c>
      <c r="B42" s="3" t="s">
        <v>166</v>
      </c>
      <c r="C42" s="3" t="s">
        <v>27</v>
      </c>
      <c r="D42" s="3" t="s">
        <v>3</v>
      </c>
      <c r="E42" s="4">
        <v>1</v>
      </c>
      <c r="F42" s="16">
        <v>1E-3</v>
      </c>
      <c r="G42" s="16">
        <f t="shared" si="1"/>
        <v>1E-3</v>
      </c>
      <c r="H42" s="20" t="s">
        <v>119</v>
      </c>
      <c r="I42" s="17" t="s">
        <v>126</v>
      </c>
      <c r="J42" s="40"/>
      <c r="K42" s="40"/>
      <c r="L42" s="41" t="s">
        <v>294</v>
      </c>
      <c r="M42" s="53"/>
      <c r="N42" s="29"/>
      <c r="O42" s="34" t="s">
        <v>295</v>
      </c>
      <c r="P42" s="34" t="s">
        <v>260</v>
      </c>
      <c r="Q42" s="30" t="s">
        <v>264</v>
      </c>
      <c r="R42" s="54" t="s">
        <v>328</v>
      </c>
      <c r="S42" s="48">
        <v>2200</v>
      </c>
      <c r="T42" s="35" t="s">
        <v>260</v>
      </c>
      <c r="U42" s="35" t="s">
        <v>265</v>
      </c>
      <c r="V42" s="35" t="s">
        <v>264</v>
      </c>
      <c r="W42" s="35">
        <v>805</v>
      </c>
      <c r="X42" s="37">
        <f t="shared" si="2"/>
        <v>3005</v>
      </c>
    </row>
    <row r="43" spans="1:24" x14ac:dyDescent="0.2">
      <c r="A43" s="3" t="s">
        <v>54</v>
      </c>
      <c r="B43" s="3" t="s">
        <v>167</v>
      </c>
      <c r="C43" s="3" t="s">
        <v>28</v>
      </c>
      <c r="D43" s="3" t="s">
        <v>3</v>
      </c>
      <c r="E43" s="4">
        <v>1</v>
      </c>
      <c r="F43" s="16">
        <v>7.0000000000000001E-3</v>
      </c>
      <c r="G43" s="16">
        <f t="shared" si="1"/>
        <v>7.0000000000000001E-3</v>
      </c>
      <c r="H43" s="20" t="s">
        <v>119</v>
      </c>
      <c r="I43" s="17" t="s">
        <v>126</v>
      </c>
      <c r="J43" s="40"/>
      <c r="K43" s="40"/>
      <c r="L43" s="41" t="s">
        <v>294</v>
      </c>
      <c r="M43" s="53"/>
      <c r="N43" s="29"/>
      <c r="O43" s="34" t="s">
        <v>295</v>
      </c>
      <c r="P43" s="34" t="s">
        <v>260</v>
      </c>
      <c r="Q43" s="30" t="s">
        <v>264</v>
      </c>
      <c r="R43" s="54" t="s">
        <v>336</v>
      </c>
      <c r="S43" s="48">
        <v>2200</v>
      </c>
      <c r="T43" s="35" t="s">
        <v>260</v>
      </c>
      <c r="U43" s="35" t="s">
        <v>255</v>
      </c>
      <c r="V43" s="35" t="s">
        <v>264</v>
      </c>
      <c r="W43" s="35">
        <v>805</v>
      </c>
      <c r="X43" s="37">
        <f t="shared" si="2"/>
        <v>3005</v>
      </c>
    </row>
    <row r="44" spans="1:24" x14ac:dyDescent="0.2">
      <c r="A44" s="3" t="s">
        <v>109</v>
      </c>
      <c r="B44" s="3" t="s">
        <v>167</v>
      </c>
      <c r="C44" s="3" t="s">
        <v>110</v>
      </c>
      <c r="D44" s="3" t="s">
        <v>3</v>
      </c>
      <c r="E44" s="4">
        <v>1</v>
      </c>
      <c r="F44" s="16">
        <v>1E-3</v>
      </c>
      <c r="G44" s="16">
        <f t="shared" si="1"/>
        <v>1E-3</v>
      </c>
      <c r="H44" s="20" t="s">
        <v>119</v>
      </c>
      <c r="I44" s="17" t="s">
        <v>126</v>
      </c>
      <c r="J44" s="40"/>
      <c r="K44" s="40"/>
      <c r="L44" s="41" t="s">
        <v>294</v>
      </c>
      <c r="M44" s="53"/>
      <c r="N44" s="29"/>
      <c r="O44" s="34" t="s">
        <v>295</v>
      </c>
      <c r="P44" s="34" t="s">
        <v>260</v>
      </c>
      <c r="Q44" s="30" t="s">
        <v>264</v>
      </c>
      <c r="R44" s="54" t="s">
        <v>328</v>
      </c>
      <c r="S44" s="48">
        <v>2200</v>
      </c>
      <c r="T44" s="35" t="s">
        <v>260</v>
      </c>
      <c r="U44" s="35" t="s">
        <v>265</v>
      </c>
      <c r="V44" s="35" t="s">
        <v>264</v>
      </c>
      <c r="W44" s="35">
        <v>805</v>
      </c>
      <c r="X44" s="37">
        <f t="shared" si="2"/>
        <v>3005</v>
      </c>
    </row>
    <row r="45" spans="1:24" x14ac:dyDescent="0.2">
      <c r="A45" s="3" t="s">
        <v>111</v>
      </c>
      <c r="B45" s="3" t="s">
        <v>164</v>
      </c>
      <c r="C45" s="3" t="s">
        <v>112</v>
      </c>
      <c r="D45" s="3" t="s">
        <v>113</v>
      </c>
      <c r="E45" s="4">
        <v>1</v>
      </c>
      <c r="F45" s="16">
        <v>0</v>
      </c>
      <c r="G45" s="16">
        <f t="shared" si="1"/>
        <v>0</v>
      </c>
      <c r="H45" s="17" t="s">
        <v>192</v>
      </c>
      <c r="I45" s="17" t="s">
        <v>216</v>
      </c>
      <c r="J45" s="29"/>
      <c r="K45" s="29"/>
      <c r="L45" s="29"/>
      <c r="M45" s="53"/>
      <c r="N45" s="29">
        <v>0</v>
      </c>
      <c r="O45" s="34"/>
      <c r="P45" s="34"/>
      <c r="Q45" s="34"/>
      <c r="R45" s="34"/>
      <c r="S45" s="34"/>
      <c r="T45" s="35"/>
      <c r="U45" s="35"/>
      <c r="V45" s="35"/>
      <c r="W45" s="35"/>
      <c r="X45" s="37">
        <f t="shared" si="2"/>
        <v>0</v>
      </c>
    </row>
    <row r="46" spans="1:24" x14ac:dyDescent="0.2">
      <c r="A46" s="3" t="s">
        <v>58</v>
      </c>
      <c r="B46" s="3" t="s">
        <v>168</v>
      </c>
      <c r="C46" s="3" t="s">
        <v>132</v>
      </c>
      <c r="D46" s="3" t="s">
        <v>29</v>
      </c>
      <c r="E46" s="4">
        <v>8.7999999999999995E-2</v>
      </c>
      <c r="F46" s="16">
        <v>0</v>
      </c>
      <c r="G46" s="16">
        <f t="shared" si="1"/>
        <v>0</v>
      </c>
      <c r="H46" s="4" t="s">
        <v>192</v>
      </c>
      <c r="I46" s="4" t="s">
        <v>217</v>
      </c>
      <c r="J46" s="40" t="s">
        <v>242</v>
      </c>
      <c r="K46" s="40" t="s">
        <v>240</v>
      </c>
      <c r="L46" s="40" t="s">
        <v>223</v>
      </c>
      <c r="M46" s="53" t="s">
        <v>329</v>
      </c>
      <c r="N46" s="29">
        <v>510</v>
      </c>
      <c r="O46" s="34"/>
      <c r="P46" s="34"/>
      <c r="Q46" s="34"/>
      <c r="R46" s="34"/>
      <c r="S46" s="34"/>
      <c r="T46" s="35"/>
      <c r="U46" s="35"/>
      <c r="V46" s="35"/>
      <c r="W46" s="35"/>
      <c r="X46" s="37">
        <f t="shared" si="2"/>
        <v>510</v>
      </c>
    </row>
    <row r="47" spans="1:24" x14ac:dyDescent="0.2">
      <c r="A47" s="3" t="s">
        <v>59</v>
      </c>
      <c r="B47" s="3" t="s">
        <v>168</v>
      </c>
      <c r="C47" s="3" t="s">
        <v>133</v>
      </c>
      <c r="D47" s="3" t="s">
        <v>30</v>
      </c>
      <c r="E47" s="4">
        <v>4.1000000000000002E-2</v>
      </c>
      <c r="F47" s="16">
        <v>0</v>
      </c>
      <c r="G47" s="16">
        <f t="shared" si="1"/>
        <v>0</v>
      </c>
      <c r="H47" s="4" t="s">
        <v>192</v>
      </c>
      <c r="I47" s="4" t="s">
        <v>217</v>
      </c>
      <c r="J47" s="40" t="s">
        <v>228</v>
      </c>
      <c r="K47" s="40" t="s">
        <v>240</v>
      </c>
      <c r="L47" s="40" t="s">
        <v>241</v>
      </c>
      <c r="M47" s="53" t="s">
        <v>329</v>
      </c>
      <c r="N47" s="29">
        <v>510</v>
      </c>
      <c r="O47" s="34"/>
      <c r="P47" s="34"/>
      <c r="Q47" s="34"/>
      <c r="R47" s="34"/>
      <c r="S47" s="34"/>
      <c r="T47" s="35"/>
      <c r="U47" s="35"/>
      <c r="V47" s="35"/>
      <c r="W47" s="35"/>
      <c r="X47" s="37">
        <f t="shared" si="2"/>
        <v>510</v>
      </c>
    </row>
    <row r="48" spans="1:24" x14ac:dyDescent="0.2">
      <c r="A48" s="3" t="s">
        <v>114</v>
      </c>
      <c r="B48" s="3" t="s">
        <v>168</v>
      </c>
      <c r="C48" s="3" t="s">
        <v>134</v>
      </c>
      <c r="D48" s="3" t="s">
        <v>31</v>
      </c>
      <c r="E48" s="4">
        <v>0.06</v>
      </c>
      <c r="F48" s="16">
        <v>0</v>
      </c>
      <c r="G48" s="16">
        <f t="shared" si="1"/>
        <v>0</v>
      </c>
      <c r="H48" s="4" t="s">
        <v>192</v>
      </c>
      <c r="I48" s="4" t="s">
        <v>198</v>
      </c>
      <c r="J48" s="40" t="s">
        <v>228</v>
      </c>
      <c r="K48" s="40" t="s">
        <v>203</v>
      </c>
      <c r="L48" s="40" t="s">
        <v>224</v>
      </c>
      <c r="M48" s="53" t="s">
        <v>330</v>
      </c>
      <c r="N48" s="29">
        <v>510</v>
      </c>
      <c r="O48" s="34"/>
      <c r="P48" s="34"/>
      <c r="Q48" s="34"/>
      <c r="R48" s="34"/>
      <c r="S48" s="34"/>
      <c r="T48" s="35"/>
      <c r="U48" s="35"/>
      <c r="V48" s="35"/>
      <c r="W48" s="35"/>
      <c r="X48" s="37">
        <f t="shared" si="2"/>
        <v>510</v>
      </c>
    </row>
    <row r="49" spans="1:24" x14ac:dyDescent="0.2">
      <c r="A49" s="3" t="s">
        <v>55</v>
      </c>
      <c r="B49" s="3" t="s">
        <v>166</v>
      </c>
      <c r="C49" s="3" t="s">
        <v>32</v>
      </c>
      <c r="D49" s="3" t="s">
        <v>33</v>
      </c>
      <c r="E49" s="4">
        <v>1</v>
      </c>
      <c r="F49" s="16">
        <v>1E-3</v>
      </c>
      <c r="G49" s="16">
        <f t="shared" si="1"/>
        <v>1E-3</v>
      </c>
      <c r="H49" s="20" t="s">
        <v>119</v>
      </c>
      <c r="I49" s="17" t="s">
        <v>126</v>
      </c>
      <c r="J49" s="40"/>
      <c r="K49" s="40"/>
      <c r="L49" s="41" t="s">
        <v>290</v>
      </c>
      <c r="M49" s="53"/>
      <c r="N49" s="29"/>
      <c r="O49" s="34" t="s">
        <v>284</v>
      </c>
      <c r="P49" s="34" t="s">
        <v>260</v>
      </c>
      <c r="Q49" s="30" t="s">
        <v>264</v>
      </c>
      <c r="R49" s="54" t="s">
        <v>325</v>
      </c>
      <c r="S49" s="48">
        <v>2200</v>
      </c>
      <c r="T49" s="35" t="s">
        <v>260</v>
      </c>
      <c r="U49" s="35" t="s">
        <v>255</v>
      </c>
      <c r="V49" s="35" t="s">
        <v>264</v>
      </c>
      <c r="W49" s="35">
        <v>805</v>
      </c>
      <c r="X49" s="37">
        <f t="shared" si="2"/>
        <v>3005</v>
      </c>
    </row>
    <row r="50" spans="1:24" x14ac:dyDescent="0.2">
      <c r="A50" s="3" t="s">
        <v>56</v>
      </c>
      <c r="B50" s="3" t="s">
        <v>166</v>
      </c>
      <c r="C50" s="3" t="s">
        <v>34</v>
      </c>
      <c r="D50" s="3" t="s">
        <v>35</v>
      </c>
      <c r="E50" s="4">
        <v>1</v>
      </c>
      <c r="F50" s="16">
        <v>1E-3</v>
      </c>
      <c r="G50" s="16">
        <f t="shared" si="1"/>
        <v>1E-3</v>
      </c>
      <c r="H50" s="20" t="s">
        <v>119</v>
      </c>
      <c r="I50" s="17" t="s">
        <v>126</v>
      </c>
      <c r="J50" s="40"/>
      <c r="K50" s="40"/>
      <c r="L50" s="41" t="s">
        <v>294</v>
      </c>
      <c r="M50" s="53"/>
      <c r="N50" s="29"/>
      <c r="O50" s="34" t="s">
        <v>284</v>
      </c>
      <c r="P50" s="34" t="s">
        <v>254</v>
      </c>
      <c r="Q50" s="30" t="s">
        <v>257</v>
      </c>
      <c r="R50" s="54" t="s">
        <v>328</v>
      </c>
      <c r="S50" s="48">
        <v>2200</v>
      </c>
      <c r="T50" s="35" t="s">
        <v>260</v>
      </c>
      <c r="U50" s="35" t="s">
        <v>265</v>
      </c>
      <c r="V50" s="35" t="s">
        <v>257</v>
      </c>
      <c r="W50" s="35">
        <v>805</v>
      </c>
      <c r="X50" s="37">
        <f t="shared" si="2"/>
        <v>3005</v>
      </c>
    </row>
    <row r="51" spans="1:24" x14ac:dyDescent="0.2">
      <c r="A51" s="3" t="s">
        <v>57</v>
      </c>
      <c r="B51" s="3" t="s">
        <v>166</v>
      </c>
      <c r="C51" s="3" t="s">
        <v>115</v>
      </c>
      <c r="D51" s="3" t="s">
        <v>3</v>
      </c>
      <c r="E51" s="4">
        <v>0.1</v>
      </c>
      <c r="F51" s="39">
        <v>1E-3</v>
      </c>
      <c r="G51" s="16">
        <f t="shared" si="1"/>
        <v>1E-4</v>
      </c>
      <c r="H51" s="4" t="s">
        <v>192</v>
      </c>
      <c r="I51" s="4" t="s">
        <v>199</v>
      </c>
      <c r="J51" s="29"/>
      <c r="K51" s="29"/>
      <c r="L51" s="29"/>
      <c r="M51" s="53"/>
      <c r="N51" s="29">
        <v>0</v>
      </c>
      <c r="O51" s="34"/>
      <c r="P51" s="34"/>
      <c r="Q51" s="34"/>
      <c r="R51" s="34"/>
      <c r="S51" s="34"/>
      <c r="T51" s="35"/>
      <c r="U51" s="35"/>
      <c r="V51" s="35"/>
      <c r="W51" s="35"/>
      <c r="X51" s="37">
        <f t="shared" si="2"/>
        <v>0</v>
      </c>
    </row>
    <row r="52" spans="1:24" x14ac:dyDescent="0.2">
      <c r="A52" s="3" t="s">
        <v>116</v>
      </c>
      <c r="B52" s="3" t="s">
        <v>166</v>
      </c>
      <c r="C52" s="3" t="s">
        <v>36</v>
      </c>
      <c r="D52" s="3" t="s">
        <v>3</v>
      </c>
      <c r="E52" s="4">
        <v>1.02</v>
      </c>
      <c r="F52" s="16">
        <v>2E-3</v>
      </c>
      <c r="G52" s="16">
        <f t="shared" si="1"/>
        <v>2.0400000000000001E-3</v>
      </c>
      <c r="H52" s="17" t="s">
        <v>119</v>
      </c>
      <c r="I52" s="17" t="s">
        <v>126</v>
      </c>
      <c r="J52" s="40"/>
      <c r="K52" s="40"/>
      <c r="L52" s="41" t="s">
        <v>290</v>
      </c>
      <c r="M52" s="53"/>
      <c r="N52" s="29"/>
      <c r="O52" s="34" t="s">
        <v>284</v>
      </c>
      <c r="P52" s="34" t="s">
        <v>296</v>
      </c>
      <c r="Q52" s="30" t="s">
        <v>291</v>
      </c>
      <c r="R52" s="54" t="s">
        <v>328</v>
      </c>
      <c r="S52" s="48">
        <v>2200</v>
      </c>
      <c r="T52" s="35" t="s">
        <v>254</v>
      </c>
      <c r="U52" s="35" t="s">
        <v>265</v>
      </c>
      <c r="V52" s="35" t="s">
        <v>264</v>
      </c>
      <c r="W52" s="35">
        <v>805</v>
      </c>
      <c r="X52" s="37">
        <f t="shared" si="2"/>
        <v>3005</v>
      </c>
    </row>
    <row r="53" spans="1:24" x14ac:dyDescent="0.2">
      <c r="A53" s="3" t="s">
        <v>37</v>
      </c>
      <c r="B53" s="3" t="s">
        <v>169</v>
      </c>
      <c r="C53" s="3" t="s">
        <v>135</v>
      </c>
      <c r="D53" s="3" t="s">
        <v>3</v>
      </c>
      <c r="E53" s="4">
        <v>1.02</v>
      </c>
      <c r="F53" s="38">
        <v>2.8000000000000001E-2</v>
      </c>
      <c r="G53" s="16">
        <f t="shared" si="1"/>
        <v>2.8560000000000002E-2</v>
      </c>
      <c r="H53" s="4" t="s">
        <v>192</v>
      </c>
      <c r="I53" s="4"/>
      <c r="J53" s="40" t="s">
        <v>231</v>
      </c>
      <c r="K53" s="40" t="s">
        <v>203</v>
      </c>
      <c r="L53" s="40" t="s">
        <v>234</v>
      </c>
      <c r="M53" s="53"/>
      <c r="N53" s="29">
        <v>7</v>
      </c>
      <c r="O53" s="34"/>
      <c r="P53" s="34"/>
      <c r="Q53" s="34"/>
      <c r="R53" s="34"/>
      <c r="S53" s="34"/>
      <c r="T53" s="35"/>
      <c r="U53" s="35"/>
      <c r="V53" s="35"/>
      <c r="W53" s="35"/>
      <c r="X53" s="37">
        <f t="shared" si="2"/>
        <v>7</v>
      </c>
    </row>
    <row r="54" spans="1:24" x14ac:dyDescent="0.2">
      <c r="A54" s="3" t="s">
        <v>38</v>
      </c>
      <c r="B54" s="3" t="s">
        <v>170</v>
      </c>
      <c r="C54" s="3" t="s">
        <v>136</v>
      </c>
      <c r="D54" s="3" t="s">
        <v>3</v>
      </c>
      <c r="E54" s="4">
        <v>0.03</v>
      </c>
      <c r="F54" s="16"/>
      <c r="G54" s="16"/>
      <c r="H54" s="17"/>
      <c r="I54" s="17"/>
      <c r="J54" s="40" t="s">
        <v>232</v>
      </c>
      <c r="K54" s="40" t="s">
        <v>233</v>
      </c>
      <c r="L54" s="40" t="s">
        <v>224</v>
      </c>
      <c r="M54" s="53"/>
      <c r="N54" s="29">
        <v>8</v>
      </c>
      <c r="O54" s="34"/>
      <c r="P54" s="34"/>
      <c r="Q54" s="34"/>
      <c r="R54" s="34"/>
      <c r="S54" s="34"/>
      <c r="T54" s="35"/>
      <c r="U54" s="35"/>
      <c r="V54" s="35"/>
      <c r="W54" s="35"/>
      <c r="X54" s="37">
        <f t="shared" si="2"/>
        <v>8</v>
      </c>
    </row>
    <row r="55" spans="1:24" x14ac:dyDescent="0.2">
      <c r="A55" s="7" t="s">
        <v>61</v>
      </c>
      <c r="B55" s="7"/>
      <c r="C55" s="8" t="s">
        <v>3</v>
      </c>
      <c r="D55" s="8" t="s">
        <v>3</v>
      </c>
      <c r="E55" s="9"/>
      <c r="F55" s="18"/>
      <c r="G55" s="18"/>
      <c r="H55" s="19"/>
      <c r="I55" s="19"/>
      <c r="J55" s="19"/>
      <c r="K55" s="19"/>
      <c r="L55" s="19"/>
      <c r="M55" s="50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spans="1:24" x14ac:dyDescent="0.2">
      <c r="A56" s="5" t="s">
        <v>62</v>
      </c>
      <c r="B56" s="5"/>
      <c r="C56" s="3" t="s">
        <v>3</v>
      </c>
      <c r="D56" s="3" t="s">
        <v>3</v>
      </c>
      <c r="E56" s="4"/>
      <c r="F56" s="16"/>
      <c r="G56" s="16"/>
      <c r="H56" s="17"/>
      <c r="I56" s="17"/>
      <c r="J56" s="17"/>
      <c r="K56" s="17"/>
      <c r="L56" s="17"/>
      <c r="M56" s="49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x14ac:dyDescent="0.2">
      <c r="D57" s="45"/>
      <c r="E57" s="45"/>
      <c r="F57" s="46"/>
      <c r="G57" s="47"/>
      <c r="H57" s="45"/>
      <c r="I57" s="45"/>
      <c r="J57" s="45"/>
      <c r="K57" s="45"/>
      <c r="L57" s="45"/>
      <c r="M57" s="51"/>
      <c r="N57" s="45"/>
      <c r="O57" s="45"/>
      <c r="P57" s="45"/>
      <c r="Q57" s="45"/>
      <c r="R57" s="51"/>
      <c r="S57" s="45"/>
      <c r="T57" s="45"/>
      <c r="U57" s="45"/>
      <c r="V57" s="45"/>
      <c r="W57" s="45"/>
      <c r="X57" s="45"/>
    </row>
    <row r="58" spans="1:24" ht="16" x14ac:dyDescent="0.2">
      <c r="A58" s="23" t="s">
        <v>176</v>
      </c>
      <c r="B58" s="21"/>
      <c r="D58" s="45"/>
      <c r="E58" s="45"/>
      <c r="F58" s="46"/>
      <c r="G58" s="47"/>
      <c r="H58" s="45"/>
      <c r="I58" s="45"/>
      <c r="J58" s="45"/>
      <c r="K58" s="45"/>
      <c r="L58" s="45"/>
      <c r="M58" s="51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spans="1:24" ht="16" x14ac:dyDescent="0.2">
      <c r="A59" s="21" t="s">
        <v>190</v>
      </c>
      <c r="B59" s="21" t="s">
        <v>119</v>
      </c>
      <c r="M59" s="51"/>
    </row>
    <row r="60" spans="1:24" ht="16" x14ac:dyDescent="0.2">
      <c r="A60" s="21" t="s">
        <v>173</v>
      </c>
      <c r="B60" s="21" t="s">
        <v>177</v>
      </c>
      <c r="M60" s="51"/>
    </row>
    <row r="61" spans="1:24" ht="16" x14ac:dyDescent="0.2">
      <c r="A61" s="21" t="s">
        <v>175</v>
      </c>
      <c r="B61" s="21" t="s">
        <v>174</v>
      </c>
      <c r="M61" s="51"/>
    </row>
    <row r="62" spans="1:24" ht="16" x14ac:dyDescent="0.2">
      <c r="A62" s="21" t="s">
        <v>191</v>
      </c>
      <c r="B62" s="22">
        <v>0.17</v>
      </c>
      <c r="C62" s="21" t="s">
        <v>178</v>
      </c>
      <c r="M62" s="51"/>
    </row>
  </sheetData>
  <autoFilter ref="A1:X56" xr:uid="{00000000-0009-0000-0000-000001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spec Jacket 2 Saga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jinny</dc:creator>
  <cp:lastModifiedBy>Manh Dao</cp:lastModifiedBy>
  <cp:lastPrinted>2025-03-13T02:26:20Z</cp:lastPrinted>
  <dcterms:created xsi:type="dcterms:W3CDTF">2025-03-13T01:53:54Z</dcterms:created>
  <dcterms:modified xsi:type="dcterms:W3CDTF">2026-03-09T10:17:20Z</dcterms:modified>
</cp:coreProperties>
</file>